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DOCUMENTS COMMUNS\03 - OUTILS\OUTILS COMMERCIAUX\02 - VENTES PRO\PAR TYPE\21 - UGAP\"/>
    </mc:Choice>
  </mc:AlternateContent>
  <xr:revisionPtr revIDLastSave="0" documentId="13_ncr:1_{2140D0D5-F895-4E49-8714-D924017E386E}" xr6:coauthVersionLast="47" xr6:coauthVersionMax="47" xr10:uidLastSave="{00000000-0000-0000-0000-000000000000}"/>
  <bookViews>
    <workbookView xWindow="-120" yWindow="-120" windowWidth="29040" windowHeight="15720" xr2:uid="{4E973D57-053D-49DD-A9E3-E9BF8CC48FA2}"/>
  </bookViews>
  <sheets>
    <sheet name="416 981_ZEPPELIN_AJST 01" sheetId="1" r:id="rId1"/>
  </sheets>
  <definedNames>
    <definedName name="_xlnm._FilterDatabase" localSheetId="0" hidden="1">'416 981_ZEPPELIN_AJST 01'!$B$14:$S$901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66" i="1" l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3" i="1"/>
  <c r="Q884" i="1"/>
  <c r="Q885" i="1"/>
  <c r="Q886" i="1"/>
  <c r="Q887" i="1"/>
  <c r="Q888" i="1"/>
  <c r="Q889" i="1"/>
  <c r="Q880" i="1"/>
  <c r="Q881" i="1"/>
  <c r="Q882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865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78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15" i="1"/>
</calcChain>
</file>

<file path=xl/sharedStrings.xml><?xml version="1.0" encoding="utf-8"?>
<sst xmlns="http://schemas.openxmlformats.org/spreadsheetml/2006/main" count="3595" uniqueCount="1772">
  <si>
    <t>Poste contrat</t>
  </si>
  <si>
    <t>Délai de livraison</t>
  </si>
  <si>
    <t>Durée de garantie</t>
  </si>
  <si>
    <t xml:space="preserve">Embarcation semi-rigide coque aluminium Zeppelin 698 XV ALU - Suzuki DF200 APX 200 ch Poste 1 - départ usine </t>
  </si>
  <si>
    <t xml:space="preserve">Embarcation semi-rigide coque aluminium Zeppelin 900 XV alu Rescue - double DF250 APX 2x250 ch Poste 2 - départ usine </t>
  </si>
  <si>
    <t xml:space="preserve">Embarcation semi-rigide coque aluminium Zeppelin 1050 XV ALU Rescue - double DF250 APX 2x250 ch Poste 3 - départ usine </t>
  </si>
  <si>
    <t xml:space="preserve">Embarcation semi-rigide coque aluminium Zeppelin 620 ALU - Suzuki DF150 ATX 150 ch Poste 5 - départ usine </t>
  </si>
  <si>
    <t xml:space="preserve">Embarcation semi-rigide coque aluminium Zeppelin 820 XV ALU Suzuki DF250 APX 250 ch Poste 6 - départ usine </t>
  </si>
  <si>
    <t xml:space="preserve">Embarcation semi-rigide coque aluminium Zeppelin 820 XV ALU Rescue - Suzuki DF300 APX 300 ch Poste 7 - départ usine </t>
  </si>
  <si>
    <t xml:space="preserve">Embarcation semi-rigide coque aluminium Zeppelin 820 XV ALU Patrol - Suzuki DF300 APX 300 ch Poste 8 - départ usine </t>
  </si>
  <si>
    <t xml:space="preserve">Embarcation semi-rigide coque aluminium Zeppelin 900 XV ALU Patrol cabine - double DF250 APX 2x250 ch Poste 9 - départ usine </t>
  </si>
  <si>
    <t xml:space="preserve">Embarcation semi-rigide coque aluminium Zeppelin 1050 XV ALU Patrol cabine - double DF300 BMDX 2x300 ch - Poste 10 - départ usine </t>
  </si>
  <si>
    <t xml:space="preserve">Coloris flotteur en Rouge Etna   </t>
  </si>
  <si>
    <t xml:space="preserve">Coloris flotteur en Vert Army   </t>
  </si>
  <si>
    <t xml:space="preserve">Coloris flotteur en Noir   </t>
  </si>
  <si>
    <t xml:space="preserve">Coloris flotteur en Orange Sylvano   </t>
  </si>
  <si>
    <t xml:space="preserve">Coloris flotteur en Gris Military ou Jaune Colorado   </t>
  </si>
  <si>
    <t xml:space="preserve">Marquage comprenant 5 lettres maxi   </t>
  </si>
  <si>
    <t>ART000838</t>
  </si>
  <si>
    <t xml:space="preserve">Marquage comprenant 20 lettres maxi   </t>
  </si>
  <si>
    <t xml:space="preserve">Marquage comprenant 30 lettres maxi   </t>
  </si>
  <si>
    <t xml:space="preserve">Marquage comprenant 40 lettres maxi   </t>
  </si>
  <si>
    <t xml:space="preserve">Marquage comprenant 50 lettres maxi   </t>
  </si>
  <si>
    <t>ART000836</t>
  </si>
  <si>
    <t xml:space="preserve">Pose d'un logo fourni par le bénéficiaire(positionement à définir avec le titulaire)  </t>
  </si>
  <si>
    <t>Seconde bande anti-ragage extérieure   Poste 1</t>
  </si>
  <si>
    <t>ART001862</t>
  </si>
  <si>
    <t>Seconde bande anti-ragage extérieure   Postes 2 et 9</t>
  </si>
  <si>
    <t>ART001863</t>
  </si>
  <si>
    <t>Seconde bande anti-ragage extérieure   Postes 3 et 10</t>
  </si>
  <si>
    <t>ART001864</t>
  </si>
  <si>
    <t>Seconde bande anti-ragage extérieure   Poste 5</t>
  </si>
  <si>
    <t>ART001865</t>
  </si>
  <si>
    <t>Seconde bande anti-ragage extérieure   Postes 6, 7 et 8</t>
  </si>
  <si>
    <t>Saisine supplémentaire à mi-hauteur du flotteur en partie extérieure  Poste 1</t>
  </si>
  <si>
    <t>ART001901</t>
  </si>
  <si>
    <t>Saisine supplémentaire à mi-hauteur du flotteur en partie extérieure  Postes 2 et 9</t>
  </si>
  <si>
    <t>Saisine supplémentaire à mi-hauteur du flotteur en partie extérieure  Poste 3</t>
  </si>
  <si>
    <t>Saisine supplémentaire à mi-hauteur du flotteur en partie extérieure  Poste 5</t>
  </si>
  <si>
    <t>Saisine supplémentaire à mi-hauteur du flotteur en partie extérieure  Postes 6, 7 et 8</t>
  </si>
  <si>
    <t xml:space="preserve">8 anneaux D articulés inoxydables sur les francs bords intérieurs  </t>
  </si>
  <si>
    <t>ART002884</t>
  </si>
  <si>
    <t>ART000858</t>
  </si>
  <si>
    <t>Davier d'étrave permettant le guidage de la ligne de mouillage  Poste 1</t>
  </si>
  <si>
    <t>Davier d'étrave permettant le guidage de la ligne de mouillage  Poste 5</t>
  </si>
  <si>
    <t>Davier d'étrave permettant le guidage de la ligne de mouillage  Postes 2, 3, 9 et 10</t>
  </si>
  <si>
    <t>Davier d'étrave permettant le guidage de la ligne de mouillage  Postes 6, 7 et 8</t>
  </si>
  <si>
    <t xml:space="preserve">Pare-battage adaptés à l'embarcation   </t>
  </si>
  <si>
    <t>ART001683</t>
  </si>
  <si>
    <t xml:space="preserve">Protection des flotteurs avant de doublage néo nez - doublage de 0,75 m  </t>
  </si>
  <si>
    <t>ART002610</t>
  </si>
  <si>
    <t xml:space="preserve">Protection des flotteurs arrières - doublage de 0,75 m   </t>
  </si>
  <si>
    <t>ART002607</t>
  </si>
  <si>
    <t>ART001883</t>
  </si>
  <si>
    <t>Flotteur moussé PE sans revêtement PU en remplacement de celui de base  Postes 1 et 5</t>
  </si>
  <si>
    <t>Flotteur moussé PE sans revêtement PU en remplacement de celui de base  Postes 3 et 10</t>
  </si>
  <si>
    <t>Flotteur moussé PE sans revêtement PU en remplacement de celui de base  Postes 6 à 8</t>
  </si>
  <si>
    <t xml:space="preserve">Porte d'accès rapide   </t>
  </si>
  <si>
    <t xml:space="preserve">Paire de Foot straps   </t>
  </si>
  <si>
    <t xml:space="preserve">Paire de taquets   </t>
  </si>
  <si>
    <t xml:space="preserve">Jeu de 2 cadènes Wichard sur le pont   </t>
  </si>
  <si>
    <t xml:space="preserve">Macaron anneaux D sur le cône et 2 cadènes sur le pont   </t>
  </si>
  <si>
    <t xml:space="preserve">2 macarons anneaux D sur le cône   </t>
  </si>
  <si>
    <t xml:space="preserve">Coloris de la coque en rouge Solas - RAL 3020   </t>
  </si>
  <si>
    <t xml:space="preserve">Coloris de la coque en vert Otan - RAL 7013   </t>
  </si>
  <si>
    <t xml:space="preserve">Coloris de la coque en Noir - RAL 9005   </t>
  </si>
  <si>
    <t xml:space="preserve">Coloris de la coque en Pure Orange - RAL 2004   </t>
  </si>
  <si>
    <t xml:space="preserve">Coloris de la coque en Blanc - RAL 9003   </t>
  </si>
  <si>
    <t xml:space="preserve">4 Rails de fixation sur pont - l. 1 m   </t>
  </si>
  <si>
    <t xml:space="preserve">2 Rails de fixation sur pont - l. 1 m   </t>
  </si>
  <si>
    <t xml:space="preserve">Peinture des coffres en Rouge, Vert, Noir, Orange ou Blanc   </t>
  </si>
  <si>
    <t>Pulvérisation zone renfort en polyuréthane   Poste 1</t>
  </si>
  <si>
    <t>Pulvérisation zone renfort en polyuréthane   Postes 2 et 9</t>
  </si>
  <si>
    <t>Pulvérisation zone renfort en polyuréthane   Postes 3 et 10</t>
  </si>
  <si>
    <t>Pulvérisation zone renfort en polyuréthane   Poste 5</t>
  </si>
  <si>
    <t>Pulvérisation zone renfort en polyuréthane   Postes 6, 7 et 8</t>
  </si>
  <si>
    <t>Caillebotis sur la totalité du pont   Postes 1 et 5</t>
  </si>
  <si>
    <t>Caillebotis sur la totalité du pont   Postes 2 et 9</t>
  </si>
  <si>
    <t>Caillebotis sur la totalité du pont   Postes 3 et 10</t>
  </si>
  <si>
    <t>Caillebotis sur la totalité du pont   Postes 6, 7 et 8</t>
  </si>
  <si>
    <t xml:space="preserve">Croc de hissage   </t>
  </si>
  <si>
    <t xml:space="preserve">Console de pilotage en rouge Solas - RAL 3020   </t>
  </si>
  <si>
    <t xml:space="preserve">Console de pilotage en vert Otan - RAL 7013   </t>
  </si>
  <si>
    <t xml:space="preserve">Console de pilotage en Noir - RAL 9005   </t>
  </si>
  <si>
    <t xml:space="preserve">Console de pilotage en Pure Orange - RAL 2004   </t>
  </si>
  <si>
    <t xml:space="preserve">Console de pilotage en Blanc - RAL 9003   </t>
  </si>
  <si>
    <t xml:space="preserve">Console alu A800 en remplacement de celle de base   </t>
  </si>
  <si>
    <t xml:space="preserve">Console alu A800 + sièges avant 2 places en remplacement de celle de base  </t>
  </si>
  <si>
    <t xml:space="preserve">Main courante passager sur console C800   </t>
  </si>
  <si>
    <t xml:space="preserve">Modification du positionnement de la console (décalage tribord)  </t>
  </si>
  <si>
    <t xml:space="preserve">Taud de protection console C800   </t>
  </si>
  <si>
    <t>ART00790</t>
  </si>
  <si>
    <t xml:space="preserve">Bâches latérales et arrières pour cabine Rescue   </t>
  </si>
  <si>
    <t xml:space="preserve">Capot étanche fermant par un cadenas (sur console A800)   </t>
  </si>
  <si>
    <t xml:space="preserve">Grand pare-brise et grande main courante C800 en remplacement ceux de base  </t>
  </si>
  <si>
    <t xml:space="preserve">Précâblage radio sapeur-pompier   </t>
  </si>
  <si>
    <t>Pose antenne fréquence sapeur-pompier bande 80 mhz (fournie par le bénéficiaire)  Postes 1 et 5</t>
  </si>
  <si>
    <t>Pose antenne fréquence sapeur-pompier bande 80 mhz (fournie par le bénéficiaire)  Postes 2, 3 et 6 à 10</t>
  </si>
  <si>
    <t>Pose antenne fréquence sapeur-pompier conforme au réseau ANTARES (fournie par le bénéficiaire)  Postes 1 et 5</t>
  </si>
  <si>
    <t>Pose antenne fréquence sapeur-pompier conforme au réseau ANTARES (fournie par le bénéficiaire)  Postes 2, 3 et 6 à 10</t>
  </si>
  <si>
    <t>Pose poste émetteur récepteur de type BER (fourni par le bénéficiaire)  Postes 1 et 5</t>
  </si>
  <si>
    <t>Pose poste émetteur récepteur de type BER (fourni par le bénéficiaire)  Postes 2, 3 et 6 à 10</t>
  </si>
  <si>
    <t>Pose d'un poste émetteur récepteur de type Sapeur-Pompier de type BIV (fourni par le bénéficiaire)  Postes 1 et 5</t>
  </si>
  <si>
    <t>Pose d'un poste émetteur récepteur de type Sapeur-Pompier de type BIV (fourni par le bénéficiaire)  Postes 2, 3 et 6 à 10</t>
  </si>
  <si>
    <t xml:space="preserve">VHF portative Icom IC-M85E reliée à la VHF Icom M510EAIS   </t>
  </si>
  <si>
    <t>M85E</t>
  </si>
  <si>
    <t xml:space="preserve">VHF portative Icom IC-GM1600E reliée à la VHF Icom M510EAIS   </t>
  </si>
  <si>
    <t>GM1600E</t>
  </si>
  <si>
    <t xml:space="preserve">Système communication étanche Aquatys pour VHF M85E   </t>
  </si>
  <si>
    <t>SH1500</t>
  </si>
  <si>
    <t xml:space="preserve">Système communication étanche Aquatys pour VHF GM1600   </t>
  </si>
  <si>
    <t xml:space="preserve">Micro HP compact étanche pour VHF IC-M85E pour dispositif de communication radio permettant la liaison entre l'embarcation et des personnels hors de vue </t>
  </si>
  <si>
    <t xml:space="preserve">Micro HP compact étanche pour VHF IC-GM1600E pour dispositif de communication radio permettant la liaison entre l'embarcation et des personnels hors de vue </t>
  </si>
  <si>
    <t xml:space="preserve">GPS portable GPSMAP 78s Garmin   </t>
  </si>
  <si>
    <t xml:space="preserve">GPS portable GPSMAP 86i Garmin   </t>
  </si>
  <si>
    <t xml:space="preserve">GPS Simrad NSS 16 EVO 3 en remplacement de l'HDS PRO 16 fourni de base  </t>
  </si>
  <si>
    <t xml:space="preserve">Montre connectée Quatix 7 PRO Garmin   </t>
  </si>
  <si>
    <t xml:space="preserve">Montre connectée Descent G1 Garmin   </t>
  </si>
  <si>
    <t xml:space="preserve">Sonde Chirp TM165 en remplacement de celle de base   </t>
  </si>
  <si>
    <t xml:space="preserve">Sonde GT56UHD en remplacement de celle de base   </t>
  </si>
  <si>
    <t xml:space="preserve">Sondeur GSD 28 Garmin   </t>
  </si>
  <si>
    <t xml:space="preserve">Sondeur DFF3D   </t>
  </si>
  <si>
    <t xml:space="preserve">Sondeur DFF1UHD   </t>
  </si>
  <si>
    <t xml:space="preserve">Radar Lowrance Halo 20+   </t>
  </si>
  <si>
    <t xml:space="preserve">Radar Simrad Halo 20+   </t>
  </si>
  <si>
    <t xml:space="preserve">Radar Halo 20 Lowrance en complément de l'hds PRO 12 de base  </t>
  </si>
  <si>
    <t xml:space="preserve">Radar Halo 20+ Lowrance en complément de l'hds PRO 12 de base  </t>
  </si>
  <si>
    <t xml:space="preserve">Radar Halo 20 Lowrance en complément de l'hds PRO 12 de base   </t>
  </si>
  <si>
    <t xml:space="preserve">Radar GMR 18 HD+ Garmin   </t>
  </si>
  <si>
    <t xml:space="preserve">Radar GMR 18xhd Garmin   </t>
  </si>
  <si>
    <t xml:space="preserve">Radar DRS4DNXT   </t>
  </si>
  <si>
    <t xml:space="preserve">Support radar sur console A800   </t>
  </si>
  <si>
    <t xml:space="preserve">Module structure SCAN 3 D pour l'étude des fonds marins   </t>
  </si>
  <si>
    <t xml:space="preserve">Alarme AIS   </t>
  </si>
  <si>
    <t xml:space="preserve">AIS émetteur récepteur FA70   </t>
  </si>
  <si>
    <t xml:space="preserve">Remplacement de l#ensemble des matériels électroniques par un package pour l#étude des fonds marins, la et la reconstitution du fond en 3D avec PC portable durci </t>
  </si>
  <si>
    <t xml:space="preserve">VHF Icom M423GE en supplément   </t>
  </si>
  <si>
    <t xml:space="preserve">VHF Standard Horizon GX1400GPSE   </t>
  </si>
  <si>
    <t xml:space="preserve">Radio VHF RS40-B incluant l'AIS en remplacement de la VHF de base  </t>
  </si>
  <si>
    <t xml:space="preserve">VHF GX6000E avec récepteur AIS   </t>
  </si>
  <si>
    <t xml:space="preserve">HP étanche 12W IP67 Healer   </t>
  </si>
  <si>
    <t>ART00165</t>
  </si>
  <si>
    <t xml:space="preserve">Emetteur récepteur Black box AIS 800 Garmin   </t>
  </si>
  <si>
    <t xml:space="preserve">Logiciel Timezéro professionnal   </t>
  </si>
  <si>
    <t xml:space="preserve">Sonde traversante Chirp 2D (pour DFF1UHD)   </t>
  </si>
  <si>
    <t xml:space="preserve">PC durci   </t>
  </si>
  <si>
    <t xml:space="preserve">Trackball E38 étanche sans fil pour PC durci   </t>
  </si>
  <si>
    <t xml:space="preserve">Antenne active GPS   </t>
  </si>
  <si>
    <t xml:space="preserve">Système 4G/WIFI   </t>
  </si>
  <si>
    <t xml:space="preserve">Transpondeur AIS MA510 Icom   </t>
  </si>
  <si>
    <t xml:space="preserve">Transpondeur AIS + MXG-5000S - Tous   </t>
  </si>
  <si>
    <t xml:space="preserve">T-top inox console polyester C800   </t>
  </si>
  <si>
    <t>ART000763</t>
  </si>
  <si>
    <t xml:space="preserve">T-top pour console alu A800   </t>
  </si>
  <si>
    <t xml:space="preserve">T-top pour console alu A1000   </t>
  </si>
  <si>
    <t xml:space="preserve">Arceau de protection console C800   </t>
  </si>
  <si>
    <t xml:space="preserve">Loquet sur porte de cabine   </t>
  </si>
  <si>
    <t xml:space="preserve">Kit serrure sur la porte arrière de la cabine   </t>
  </si>
  <si>
    <t xml:space="preserve">Kit table + fixations Rail Blaza   </t>
  </si>
  <si>
    <t xml:space="preserve">2 sièges jockey à suspension Ullman Biscaya (pilote et navigateur) en lieu et place de l'appui-dos prévu de base  </t>
  </si>
  <si>
    <t xml:space="preserve">2 sièges jockey à suspension Shoxs 5005 + 5050 (pilote et navigateur et 2 passagers) en lieu et place de l'appui-dos prévu de base </t>
  </si>
  <si>
    <t xml:space="preserve">2 sièges jockey à suspension Shoxs 5005 + 5050 (pilote et navigateur et 2 passagers) en lieu des 2 sièges Ullman Biscaya </t>
  </si>
  <si>
    <t xml:space="preserve">Siège jockey supplémentaire / type mono place   </t>
  </si>
  <si>
    <t xml:space="preserve">Siège jockey supplémentaire à suspension / type mono place   </t>
  </si>
  <si>
    <t xml:space="preserve">Siège jockey supplémentaire / type duo   </t>
  </si>
  <si>
    <t xml:space="preserve">Siège jockey à suspension Shoxs 5005 + 5050   </t>
  </si>
  <si>
    <t xml:space="preserve">Taud pour bolster 1011   </t>
  </si>
  <si>
    <t xml:space="preserve">Roll-bar avec support échelle perroquet en remplacement du roll bar de base  </t>
  </si>
  <si>
    <t xml:space="preserve">Mâtereau inoxydable pour pavillon alpha   </t>
  </si>
  <si>
    <t xml:space="preserve">Coffre arrière S1020 pour rangement matériel sans dossier ni sellerie  </t>
  </si>
  <si>
    <t xml:space="preserve">2 sièges sur coffre arrière   </t>
  </si>
  <si>
    <t xml:space="preserve">Sellerie assise console C900S   </t>
  </si>
  <si>
    <t xml:space="preserve">Sellerie dossier console C900S   </t>
  </si>
  <si>
    <t xml:space="preserve">Coffre arrière S1520 pour rangement matériel sans dossier ni sellerie  </t>
  </si>
  <si>
    <t xml:space="preserve">Coffre arrière en alu   </t>
  </si>
  <si>
    <t xml:space="preserve">Coffre souple, amovible et étanche fixé sur anneaux D   </t>
  </si>
  <si>
    <t xml:space="preserve">Coffre plastique étanche avec les 4 cadènes Wichard pour fixation  </t>
  </si>
  <si>
    <t xml:space="preserve">Filet élastique de rangements sur la console   </t>
  </si>
  <si>
    <t xml:space="preserve">Rack pour 4 bouteilles de plongée   </t>
  </si>
  <si>
    <t xml:space="preserve">Rack pour 6 bouteilles de plongée   </t>
  </si>
  <si>
    <t xml:space="preserve">Rack pour 4 bi-blocs de plongée   </t>
  </si>
  <si>
    <t xml:space="preserve">Rack pour 6 bi-blocs de plongée   </t>
  </si>
  <si>
    <t xml:space="preserve">Mât de remorquage avant   </t>
  </si>
  <si>
    <t xml:space="preserve">Mât de traction arrière   </t>
  </si>
  <si>
    <t xml:space="preserve">Touret avec 100 mètres d'aussière flottante   </t>
  </si>
  <si>
    <t xml:space="preserve">Echelle type perroquet sur le côté du flotteur   </t>
  </si>
  <si>
    <t>Système d'auto-redressement de l'embarcation   Poste 7</t>
  </si>
  <si>
    <t>Système d'auto-redressement de l'embarcation   Postes 2 et 3</t>
  </si>
  <si>
    <t xml:space="preserve">Chaîne de 50 m 8 mm de diamètre   </t>
  </si>
  <si>
    <t xml:space="preserve">Ligne de mouillage 60 m et chaîne de 10 m 8 mm de diamètre   </t>
  </si>
  <si>
    <t xml:space="preserve">Peinture noir mat sur les éléments brillants   </t>
  </si>
  <si>
    <t xml:space="preserve">Peinture mat de couleur sombre sur les éléments brillants   </t>
  </si>
  <si>
    <t xml:space="preserve">Support spécifique pour les services de sureté (modèle 1)   </t>
  </si>
  <si>
    <t xml:space="preserve">Support spécifique pour les services de sureté (modèle 3)   </t>
  </si>
  <si>
    <t xml:space="preserve">Vire filet professionnel avec commandes électriques   </t>
  </si>
  <si>
    <t xml:space="preserve">Vire filet professionnel avec commandes hydrauliques   </t>
  </si>
  <si>
    <t xml:space="preserve">Groupe motopompe Haka MPF 1000-15 permettant d'alimenter une lance canon manuelle à un débit minimum de 1000 l/min à une pression de 10 bars </t>
  </si>
  <si>
    <t>MPF 1000-15</t>
  </si>
  <si>
    <t xml:space="preserve">Lance canon manuelle Haka avec le diffuseur - 7 bar en pression de service selon débit / mn  </t>
  </si>
  <si>
    <t>Hélice de rechange pour moteur de base   Postes 3 et 10</t>
  </si>
  <si>
    <t>Hélice de rechange pour moteur de base   Postes 1, 2, 5 à 9</t>
  </si>
  <si>
    <t>Arceau de protection pour moteur   Postes 1 et 5</t>
  </si>
  <si>
    <t>Arceau de protection pour moteur   Postes 2, 6 à 9</t>
  </si>
  <si>
    <t>Arceau de protection pour moteur   Postes et 10</t>
  </si>
  <si>
    <t xml:space="preserve">Réservoir type nourrice d'une capacité d'environ 25 litres avec branchement accessoires  </t>
  </si>
  <si>
    <t xml:space="preserve">2 moteurs électrique sur tableau arrière - 1 heure autonomie à petite vitesse - Pour manoeuvres de port, zones protégées, lac </t>
  </si>
  <si>
    <t xml:space="preserve">Jeu de 2 fusibles 15 A de rechange   </t>
  </si>
  <si>
    <t xml:space="preserve">Compresseur électrique 12 V Turbo Max   </t>
  </si>
  <si>
    <t xml:space="preserve">Convertisseur embarqué électronique Phoenix 1200 W et sa prise 230 V étanche  </t>
  </si>
  <si>
    <t xml:space="preserve">Chargeur de batteries Cristec 25A / 12V étanche 1 sortie   </t>
  </si>
  <si>
    <t xml:space="preserve">Prise 230 V avec cache de protection   </t>
  </si>
  <si>
    <t xml:space="preserve">Prise 12 V avec son cache de protection, sur la console   </t>
  </si>
  <si>
    <t xml:space="preserve">Prise USB   </t>
  </si>
  <si>
    <t xml:space="preserve">Avertisseur sonore 2 tons (tonalité suivant le bénéficiaire)   </t>
  </si>
  <si>
    <t xml:space="preserve">Gyrophare LED Classic bleu - Classe 1 Mercura   </t>
  </si>
  <si>
    <t xml:space="preserve">Gyrophare LED bleu M130 - Classe 2 Mercura   </t>
  </si>
  <si>
    <t xml:space="preserve">Projecteur de recherche fixe orientable manuellement PP 1000 lumens  </t>
  </si>
  <si>
    <t xml:space="preserve">Projecteur de recherche fixe orientable électriquement Servo commande LED 200 000 candélas  </t>
  </si>
  <si>
    <t xml:space="preserve">Projecteur manuel fixe LED 7200 Lumens   </t>
  </si>
  <si>
    <t xml:space="preserve">Caméra thermique Flir M332   </t>
  </si>
  <si>
    <t xml:space="preserve">Remorque Nautilus N2352MF-80   </t>
  </si>
  <si>
    <t xml:space="preserve">Remorque Sunway Fast D1628 longue   </t>
  </si>
  <si>
    <t xml:space="preserve">Remorque Rocca R2352MF-80   </t>
  </si>
  <si>
    <t xml:space="preserve">Remorque Nautilus N2552MF-90   </t>
  </si>
  <si>
    <t xml:space="preserve">Remorque Nautilus N2052MF-75   </t>
  </si>
  <si>
    <t xml:space="preserve">Remorque Rocca R2052MF-75   </t>
  </si>
  <si>
    <t xml:space="preserve">Remorque Rocca R2552MF-90   </t>
  </si>
  <si>
    <t xml:space="preserve">Remorque Sunway Fast D1623   </t>
  </si>
  <si>
    <t xml:space="preserve">Remorque Sunway Galaxy GD13   </t>
  </si>
  <si>
    <t xml:space="preserve">Remorque Sunway Galaxy GD18   </t>
  </si>
  <si>
    <t xml:space="preserve">Remorque Mécanorem VXD12   </t>
  </si>
  <si>
    <t xml:space="preserve">Remorque Mécanorem VXD16   </t>
  </si>
  <si>
    <t xml:space="preserve">Roue jockey gonflable en lieu et place de celle fournie de base - Remorque Nautilus  </t>
  </si>
  <si>
    <t xml:space="preserve">Roue jockey gonflable en lieu et place de celle fournie de base - Remorque Mécanorem  </t>
  </si>
  <si>
    <t xml:space="preserve">Roue de secours supplémentaire livrée en vrac - Remorque Nautilus  </t>
  </si>
  <si>
    <t xml:space="preserve">Roue de secours supplémentaire livrée en vrac - Remorque Sunway  </t>
  </si>
  <si>
    <t xml:space="preserve">Chariot de mise à l'eau Mécanorem CH MTX 2500A   </t>
  </si>
  <si>
    <t xml:space="preserve">Chariot de mise à l'eau Rocca CH-250   </t>
  </si>
  <si>
    <t xml:space="preserve">Peinture des remorques en rouge possible uniquement sur les remorques Rocca  </t>
  </si>
  <si>
    <t xml:space="preserve">Passerelle sur remorque   </t>
  </si>
  <si>
    <t xml:space="preserve">Matériel de sécurité conforme à la division 240 (lot côtier)   </t>
  </si>
  <si>
    <t xml:space="preserve">Pack sécurité et armement - Division 222   </t>
  </si>
  <si>
    <t xml:space="preserve">Bouée couronne Solas - Ø 74 cm   </t>
  </si>
  <si>
    <t xml:space="preserve">Bouée fer à cheval pour division 240   </t>
  </si>
  <si>
    <t>ART000360</t>
  </si>
  <si>
    <t xml:space="preserve">Gaffe supplémentaire   </t>
  </si>
  <si>
    <t xml:space="preserve">2 pagaies télescopique supplémentaires (50 x 140 cm)   </t>
  </si>
  <si>
    <t xml:space="preserve">Lot de 3 feux rouges à main   </t>
  </si>
  <si>
    <t xml:space="preserve">Feu de navigation piles à LED Navisafe avec son support   </t>
  </si>
  <si>
    <t xml:space="preserve">Gilet de sauvetage mousse Solas   </t>
  </si>
  <si>
    <t xml:space="preserve">Gilet de sauvetage gonflable 180 N Solas   </t>
  </si>
  <si>
    <t xml:space="preserve">Gilet de sauvetage gonflable 275 N Solas   </t>
  </si>
  <si>
    <t xml:space="preserve">Gilet de sauvetage à déclenchement manuel 165 N   </t>
  </si>
  <si>
    <t xml:space="preserve">Gilet de sauvetage à déclenchement automatique 165 N   </t>
  </si>
  <si>
    <t xml:space="preserve">Gilet de sauvetage à déclenchement manuel Crewfit 180 N PRO + sifflet  </t>
  </si>
  <si>
    <t xml:space="preserve">Gilet de sauvetage à déclenchement automatique, Crewfit 180 N PRO + sifflet  </t>
  </si>
  <si>
    <t xml:space="preserve">Gilet 150 N + balise AIS/ASN   </t>
  </si>
  <si>
    <t xml:space="preserve">Radeau Solas 6 personnes Xtrem   </t>
  </si>
  <si>
    <t xml:space="preserve">Largueur hydrostatique pour radeau Xtrem   </t>
  </si>
  <si>
    <t xml:space="preserve">Berceau pour radeau Xtrem Survitec   </t>
  </si>
  <si>
    <t xml:space="preserve">2 sangles à cliquet - l. 5 m   </t>
  </si>
  <si>
    <t xml:space="preserve">Sac étanche de 60 l   </t>
  </si>
  <si>
    <t xml:space="preserve">Sac étanche de 20 l   </t>
  </si>
  <si>
    <t xml:space="preserve">Bidon étanche de 12 l   </t>
  </si>
  <si>
    <t xml:space="preserve">Jerrican avec bec verseur 10 l   </t>
  </si>
  <si>
    <t xml:space="preserve">Gonfleur à pied standard supplémentaire   </t>
  </si>
  <si>
    <t>Bâche de protection pour embarcation en PVC 320 G coloris gris  Postes 1 et 5</t>
  </si>
  <si>
    <t>Bâche de protection pour embarcation en PVC 320 G coloris gris  Postes 2 et 9</t>
  </si>
  <si>
    <t>Bâche de protection pour embarcation en PVC 320 G coloris gris  Postes 3 et 10</t>
  </si>
  <si>
    <t xml:space="preserve">Jeu 4 élingues de levage avec anneaux   </t>
  </si>
  <si>
    <t xml:space="preserve">Bobine câblot polyester - Ø 10 mm - l. 100 m   </t>
  </si>
  <si>
    <t xml:space="preserve">Bout de retournement Solas - l. 8 m   </t>
  </si>
  <si>
    <t xml:space="preserve">Extincteur 2 kg poudre   </t>
  </si>
  <si>
    <t xml:space="preserve">Dispositif permettant l'hélitreuillage de l'embarcation   </t>
  </si>
  <si>
    <t>BER flottant (livré non monté)   Poste 5</t>
  </si>
  <si>
    <t>BER flottant (livré non monté)   Poste 1</t>
  </si>
  <si>
    <t xml:space="preserve">Ber en bois   </t>
  </si>
  <si>
    <t xml:space="preserve">Ber de stockage Sunway avant MP-BS021M et arrière MP-BS022M   </t>
  </si>
  <si>
    <t xml:space="preserve">Chariot de manutention et de stockage - Mécanorem T-PO30163   </t>
  </si>
  <si>
    <t>DF150ATX</t>
  </si>
  <si>
    <t>DF150APX</t>
  </si>
  <si>
    <t>F150XCB</t>
  </si>
  <si>
    <t>F150EFI</t>
  </si>
  <si>
    <t>150 CMS SEAPRO</t>
  </si>
  <si>
    <t>F200XCB</t>
  </si>
  <si>
    <t>DF200ATX</t>
  </si>
  <si>
    <t>200 DTS SEAPRO</t>
  </si>
  <si>
    <t>200 FOURSTROKE</t>
  </si>
  <si>
    <t>DF225TX</t>
  </si>
  <si>
    <t>225 FOURSTROKE</t>
  </si>
  <si>
    <t>F250NSB</t>
  </si>
  <si>
    <t>250 DTS SEAPRO</t>
  </si>
  <si>
    <t>F250 VÉRADO</t>
  </si>
  <si>
    <t>DF250APX</t>
  </si>
  <si>
    <t>F300NSB</t>
  </si>
  <si>
    <t>300BMDX</t>
  </si>
  <si>
    <t>300 CMS SEAPRO</t>
  </si>
  <si>
    <t>300 VÉRADO</t>
  </si>
  <si>
    <t>DF350AMDX</t>
  </si>
  <si>
    <t>F350NSA</t>
  </si>
  <si>
    <t>DF100BTX</t>
  </si>
  <si>
    <t>F100XB</t>
  </si>
  <si>
    <t>DF115BTGX + DF115BZGX</t>
  </si>
  <si>
    <t>F115XB + LF115XB</t>
  </si>
  <si>
    <t>F115 EXLPT + F115 EXCLPT</t>
  </si>
  <si>
    <t>F150XCB+LF150XCB</t>
  </si>
  <si>
    <t>F150 EFI</t>
  </si>
  <si>
    <t>F150 CMS SEAPRO</t>
  </si>
  <si>
    <t>DF200APX</t>
  </si>
  <si>
    <t>F250B</t>
  </si>
  <si>
    <t>F250 DTS SEAPRO</t>
  </si>
  <si>
    <t>DF300APX</t>
  </si>
  <si>
    <t>DF300BMDX</t>
  </si>
  <si>
    <t>F300 VÉRADO</t>
  </si>
  <si>
    <t>F300 CMS SEAPRO</t>
  </si>
  <si>
    <t>DF325ATX</t>
  </si>
  <si>
    <t>F350 V10 SEAPRO</t>
  </si>
  <si>
    <t>F350 V10 VÉRADO</t>
  </si>
  <si>
    <t>XF400NSA</t>
  </si>
  <si>
    <t>F400 V10 SEAPRO</t>
  </si>
  <si>
    <t>DF175APX</t>
  </si>
  <si>
    <t>DF175ATX</t>
  </si>
  <si>
    <t>175 FOURSTROKE</t>
  </si>
  <si>
    <t>F150XC</t>
  </si>
  <si>
    <t xml:space="preserve">PR Moteur DF 200APX Suzuki complet - référence : DF 200APX   </t>
  </si>
  <si>
    <t>DF 200APX</t>
  </si>
  <si>
    <t xml:space="preserve">PR Moteur DF 200ATX Suzuki complet - référence : DF200ATX   </t>
  </si>
  <si>
    <t xml:space="preserve">PR Moteur DF 150ATX Suzuki complet - référence : DF 150ATX   </t>
  </si>
  <si>
    <t>DF 150ATX</t>
  </si>
  <si>
    <t xml:space="preserve">PR Moteur DF 150APX Suzuki complet - référence : DF 150APX   </t>
  </si>
  <si>
    <t>DF 150APX</t>
  </si>
  <si>
    <t xml:space="preserve">PR Moteur DF 175APX Suzuki complet - référence : DF 175APX   </t>
  </si>
  <si>
    <t>DF 175APX</t>
  </si>
  <si>
    <t xml:space="preserve">PR Moteur DF 175ATX Suzuki complet - référence : DF 175ATX   </t>
  </si>
  <si>
    <t>DF 175ATX</t>
  </si>
  <si>
    <t xml:space="preserve">PR Moteur DF 140BTX Suzuki complet - référence : DF 140 BTX   </t>
  </si>
  <si>
    <t>DF 140 BTX</t>
  </si>
  <si>
    <t xml:space="preserve">PR Moteur DF 140BTGX Suzuki complet - référence : DF 140BTGX   </t>
  </si>
  <si>
    <t>DF 140BTGX</t>
  </si>
  <si>
    <t xml:space="preserve">PR Moteur DF 115BTX Suzuki complet - référence : DF 115BTX   </t>
  </si>
  <si>
    <t>DF 115BTX</t>
  </si>
  <si>
    <t xml:space="preserve">PR Moteur DF 115BTGX Suzuki complet - référence : DF 115BTGX   </t>
  </si>
  <si>
    <t>DF 115BTGX</t>
  </si>
  <si>
    <t xml:space="preserve">PR Moteur DF 115BZGX Suzuki complet - référence : DF 115BZGX   </t>
  </si>
  <si>
    <t>DF 115BZGX</t>
  </si>
  <si>
    <t xml:space="preserve">PR Moteur DF 250APX Suzuki complet - référence : DF 250APX   </t>
  </si>
  <si>
    <t>DF 250APX</t>
  </si>
  <si>
    <t xml:space="preserve">PR Moteur DF 225TX Suzuki complet - référence : DF 225 TX   </t>
  </si>
  <si>
    <t>DF 225 TX</t>
  </si>
  <si>
    <t xml:space="preserve">PR Moteur DF 300APX Suzuki complet - référence : DF 300APX   </t>
  </si>
  <si>
    <t>DF 300APX</t>
  </si>
  <si>
    <t xml:space="preserve">PR Moteur DF 300BMDX Suzuki complet - référence : DF 300BMDX   </t>
  </si>
  <si>
    <t>DF 300BMDX</t>
  </si>
  <si>
    <t xml:space="preserve">PR Moteur DF 100BTX Suzuki complet - référence : DF 100BTX   </t>
  </si>
  <si>
    <t>DF 100BTX</t>
  </si>
  <si>
    <t xml:space="preserve">PR Moteur DF 350AMDX Suzuki complet - référence : DF 350AMD   </t>
  </si>
  <si>
    <t>DF 350AMDX</t>
  </si>
  <si>
    <t xml:space="preserve">PR Moteur F150 XCB Yamaha complet - référence : F150 XCB   </t>
  </si>
  <si>
    <t>F150 XCB</t>
  </si>
  <si>
    <t xml:space="preserve">PR Moteur F115XB Yamaha complet - référence : F115XB   </t>
  </si>
  <si>
    <t>F115XB</t>
  </si>
  <si>
    <t xml:space="preserve">PR Moteur LF115XB Yamaha complet - référence : LF115XB   </t>
  </si>
  <si>
    <t>LF115XB</t>
  </si>
  <si>
    <t xml:space="preserve">PR Embase moteur DF 115 BTX - référence : 50020-99841-YAY   </t>
  </si>
  <si>
    <t>50020-99841-YAY</t>
  </si>
  <si>
    <t xml:space="preserve">PR Embase moteur DF 115 BTGX - référence : 50020-99841-YAY   </t>
  </si>
  <si>
    <t xml:space="preserve">PR Embase moteur DF 140 BTX - référence : 50020-99841-YAY   </t>
  </si>
  <si>
    <t xml:space="preserve">PR Embase moteur DF 140 BTGX - référence : 50020-99841-YAY   </t>
  </si>
  <si>
    <t xml:space="preserve">PR Embase moteur DF 150 ATX - référence : 50040-96838-YAY   </t>
  </si>
  <si>
    <t>50040-96838-YAY</t>
  </si>
  <si>
    <t xml:space="preserve">PR Embase moteur DF 150 APX - référence : 50040-96838-YAY   </t>
  </si>
  <si>
    <t xml:space="preserve">PR Embase moteur DF 175 APX - référence : 50040-96863-YAY   </t>
  </si>
  <si>
    <t>50040-96863-YAY</t>
  </si>
  <si>
    <t xml:space="preserve">PR Embase moteur DF 175 ATX - référence : 50040-96863-YAY   </t>
  </si>
  <si>
    <t xml:space="preserve">PR Embase moteur DF 200 APX - référence : 50040-96863-YAY   </t>
  </si>
  <si>
    <t xml:space="preserve">PR Embase moteur DF 250 APX - référence : 50040-98843-YAY   </t>
  </si>
  <si>
    <t>50040-98843-YAY</t>
  </si>
  <si>
    <t xml:space="preserve">PR Hélice Suzuki moteur DF 150 ATX - référence : 58700-96J00   </t>
  </si>
  <si>
    <t>58700-96J00-000</t>
  </si>
  <si>
    <t xml:space="preserve">PR Hélice Suzuki moteur DF 150 APX - référence : 58700-96J00   </t>
  </si>
  <si>
    <t xml:space="preserve">PR Hélice Suzuki moteur DF 175 APX - référence : 58700-93L01   </t>
  </si>
  <si>
    <t>58700-93L01-000</t>
  </si>
  <si>
    <t xml:space="preserve">PR Hélice Suzuki moteur DF 175 ATX - référence : 58700-93L01   </t>
  </si>
  <si>
    <t xml:space="preserve">PR Hélice Suzuki moteur DF 200 APX - référence : 58700-93L01   </t>
  </si>
  <si>
    <t xml:space="preserve">PR Hélice Suzuki moteur DF 115 BTX - référence : 58200-92J40   </t>
  </si>
  <si>
    <t>58200-92J40-000</t>
  </si>
  <si>
    <t xml:space="preserve">PR Hélice Suzuki moteur DF 140 BTX - référence : 58200-92J40   </t>
  </si>
  <si>
    <t xml:space="preserve">PR Hélice Suzuki moteur DF 140 BTGX - référence : 5820092J40   </t>
  </si>
  <si>
    <t xml:space="preserve">PR Hélice Suzuki moteur DF 250 APX - référence : 58700-93L01   </t>
  </si>
  <si>
    <t xml:space="preserve">PR Hélice Suzuki moteur DF 300 APX - référence : 58700-93L01   </t>
  </si>
  <si>
    <t xml:space="preserve">PR Arbre de transmission Suzuki moteur DF 115/140 -   </t>
  </si>
  <si>
    <t>57110-92J70-000</t>
  </si>
  <si>
    <t xml:space="preserve">PR Arbre de transmission Suzuki moteur DF 150/175/200 -   </t>
  </si>
  <si>
    <t>57110-96J31-000</t>
  </si>
  <si>
    <t xml:space="preserve">PR Arbre de transmission Suzuki moteur DF 250/300 -   </t>
  </si>
  <si>
    <t>57110-93L12-000</t>
  </si>
  <si>
    <t xml:space="preserve">PR Inverseur Suzuki moteur DF 115 BTX - référence :   </t>
  </si>
  <si>
    <t>23111-90J02-000</t>
  </si>
  <si>
    <t xml:space="preserve">PR Iinverseur Suzuki moteur DF 115 BTGX /140BTX/140BTGX -   </t>
  </si>
  <si>
    <t>23111-90J12-000</t>
  </si>
  <si>
    <t xml:space="preserve">PR Inverseur Suzuki moteur 150 à 300 ch - référence :   </t>
  </si>
  <si>
    <t>23111-93J00-000</t>
  </si>
  <si>
    <t xml:space="preserve">PR Filtre à huile Suzuki moteur DF 115 BTX / BTGX -   </t>
  </si>
  <si>
    <t>16510-61A32-000</t>
  </si>
  <si>
    <t xml:space="preserve">PR Filtre à huile Suzuki moteur DF 140 BTX / BTGX -   </t>
  </si>
  <si>
    <t xml:space="preserve">PR Filtre à huile Suzuki moteur DF 150 / 175 / 200 / 250 /   </t>
  </si>
  <si>
    <t>16510-96J10-000</t>
  </si>
  <si>
    <t xml:space="preserve">PR Filtre à huile Mercury moteur F 115 EFI CT / Seapro -   </t>
  </si>
  <si>
    <t>8M0162830</t>
  </si>
  <si>
    <t xml:space="preserve">PR Filtre à huile Mercury moteur F 150 - référence :   </t>
  </si>
  <si>
    <t>877761K01</t>
  </si>
  <si>
    <t xml:space="preserve">PR Filtre à huile Mercury moteur 175 à 300 ch - référence :   </t>
  </si>
  <si>
    <t>8M0123025</t>
  </si>
  <si>
    <t xml:space="preserve">PR Filtre à huile Yamaha moteur F 115 XB - référence :   </t>
  </si>
  <si>
    <t>5GH134407100</t>
  </si>
  <si>
    <t xml:space="preserve">PR Filtre à huile Yamaha moteur 150 et 200 ch - référence :   </t>
  </si>
  <si>
    <t>69J134400400</t>
  </si>
  <si>
    <t xml:space="preserve">PR turbine jusqu'à 250 ch - référence : 17461-90J01-000   </t>
  </si>
  <si>
    <t>17461-90J01-000</t>
  </si>
  <si>
    <t xml:space="preserve">PR turbine Suzuki moteur DF 300 APX - référence :   </t>
  </si>
  <si>
    <t>17461-93J01-000</t>
  </si>
  <si>
    <t xml:space="preserve">PR turbine Mercury moteur jusqu'à 300 ch - référence :   </t>
  </si>
  <si>
    <t>43026Q02</t>
  </si>
  <si>
    <t xml:space="preserve">PR Kit entretien périodique moteur 150 ATX - référence :   </t>
  </si>
  <si>
    <t>17400-96825-000</t>
  </si>
  <si>
    <t xml:space="preserve">PR Kit entretien périodique moteur 200 APX - référence :   </t>
  </si>
  <si>
    <t>17400-96834-000</t>
  </si>
  <si>
    <t xml:space="preserve">PR Kit entretien périodique moteur 250 ATX - référence : 17400-98867-000  </t>
  </si>
  <si>
    <t>17400-98867-000</t>
  </si>
  <si>
    <t xml:space="preserve">PR Kit entretien correctif moteur 150 ATX - référence : 17400-96825-000  </t>
  </si>
  <si>
    <t xml:space="preserve">PR Kit entretien correctif moteur 200 APX - référence : 17400-96834-000  </t>
  </si>
  <si>
    <t xml:space="preserve">PR Kit entretien correctif moteur 250 ATX - référence : 17400-98867-000  </t>
  </si>
  <si>
    <t xml:space="preserve">PR Filtre à huile Yamaha moteur F 250 NCB et F300 NSB - référence : N26134400300  </t>
  </si>
  <si>
    <t>N26134400300</t>
  </si>
  <si>
    <t xml:space="preserve">PR Filtre à carburant Suzuki moteur 115 / 140 ch - référence : 65900-98J11-000  </t>
  </si>
  <si>
    <t>65900-98J11-000</t>
  </si>
  <si>
    <t xml:space="preserve">PR Filtre à carburant Suzuki moteur supérieur à 150 ch - référence : 65900-98J11-000  </t>
  </si>
  <si>
    <t xml:space="preserve">PR Filtre à carburant décanteur complet Yamaha moteur F 250 NCB / 300 NCB - référence : 6P3245602300  </t>
  </si>
  <si>
    <t>6P3245602300</t>
  </si>
  <si>
    <t xml:space="preserve">PR Filtre à carburant décanteur complet Yamaha moteur 100 / 115 ch - référence : 6EK245600000  </t>
  </si>
  <si>
    <t>6EK245600000</t>
  </si>
  <si>
    <t xml:space="preserve">PR Filtre à carburant décanteur complet Yamaha moteur 150 /   </t>
  </si>
  <si>
    <t>6P3245600400</t>
  </si>
  <si>
    <t xml:space="preserve">PR Grille d'admission d'air moteur 150 ch - référence : 8M0096295  </t>
  </si>
  <si>
    <t>8M0096295</t>
  </si>
  <si>
    <t xml:space="preserve">PR Grille d'admission d'air moteur V6 AMS et CMS - référence : 8M0147749  </t>
  </si>
  <si>
    <t>8M0147749</t>
  </si>
  <si>
    <t xml:space="preserve">PR Grille d'admission d'air 115 ch - référence : 8M0090812   </t>
  </si>
  <si>
    <t>8M0090812</t>
  </si>
  <si>
    <t xml:space="preserve">PR Grille d'admission d'air moteur V8 AMS ET CMS - référence : 8M0147749  </t>
  </si>
  <si>
    <t xml:space="preserve">PR Grille d'admission d'air - référence : 8M0199983   </t>
  </si>
  <si>
    <t>8M0199983</t>
  </si>
  <si>
    <t xml:space="preserve">PR Filtre à carburant Mercury moteur 115 / 150 ch - référence : 8M0109543  </t>
  </si>
  <si>
    <t>8M0109543</t>
  </si>
  <si>
    <t xml:space="preserve">PR Filtre à carburant Mercury moteur supérieur à 150 ch - référence : 8M0135386  </t>
  </si>
  <si>
    <t>8M0135386</t>
  </si>
  <si>
    <t xml:space="preserve">PR Filtre décanteur Yamaha moteur F 100 XB à F150 XB - référence : 907981M67400  </t>
  </si>
  <si>
    <t>907981M67400</t>
  </si>
  <si>
    <t xml:space="preserve">PR Ffiltre décanteur Yamaha moteur à partir 200 ch - référence : 907981M67200  </t>
  </si>
  <si>
    <t>907981M67200</t>
  </si>
  <si>
    <t xml:space="preserve">PR Thermostat Suzuki moteur 100 à 150 ch - référence : 17670-90J01-000  </t>
  </si>
  <si>
    <t>17670-90J01-000</t>
  </si>
  <si>
    <t xml:space="preserve">PR Thermostat Suzuki moteur 200 à 300 ch - référence : 17670-90J21-000  </t>
  </si>
  <si>
    <t>17670-90J21-000</t>
  </si>
  <si>
    <t xml:space="preserve">PR Thermostat Mercury moteur 115 à 150 ch - référence : 8M0090819  </t>
  </si>
  <si>
    <t>8M0090819</t>
  </si>
  <si>
    <t xml:space="preserve">PR Pompe à eau Suzuki moteur 115 / 140 - référence : 17400-92J23-000  </t>
  </si>
  <si>
    <t>17400-92J23-000</t>
  </si>
  <si>
    <t xml:space="preserve">PR Pompe à eau Suzuki moteur 150 à 200 ch - référence : 17400-96J04-000  </t>
  </si>
  <si>
    <t>17400-96J04-000</t>
  </si>
  <si>
    <t xml:space="preserve">PR Pompe à eau Suzuki moteur 250 / 300 ch - référence : 17400-98J04-000  </t>
  </si>
  <si>
    <t>17400-98J04-000</t>
  </si>
  <si>
    <t xml:space="preserve">PR Kit reparation pompe à eau Mercury - référence : 8M0061040  </t>
  </si>
  <si>
    <t>8M0061040</t>
  </si>
  <si>
    <t xml:space="preserve">PR Kit thermostat moteur 150ATX à 200APX - référence : 17670-90J21-000  </t>
  </si>
  <si>
    <t xml:space="preserve">PR Kit thermostat moteur 300 ch - référence : 17670-98L20-000  </t>
  </si>
  <si>
    <t>17670-98L20-000</t>
  </si>
  <si>
    <t xml:space="preserve">PR Sonde P79 - référence : NA640   </t>
  </si>
  <si>
    <t>NA640</t>
  </si>
  <si>
    <t xml:space="preserve">PR Sonde P155M - référence : AI024   </t>
  </si>
  <si>
    <t>AI024</t>
  </si>
  <si>
    <t xml:space="preserve">PR Jeu de bougies Suzuki moteur DF 100 BTL - référence : 09482-00446-000  </t>
  </si>
  <si>
    <t>09482-00446-000</t>
  </si>
  <si>
    <t xml:space="preserve">PR Jeu de bougies Suzuki moteur DF 325 ATX - référence : 09482-00642-000  </t>
  </si>
  <si>
    <t>09482-00642-000</t>
  </si>
  <si>
    <t xml:space="preserve">PR Jeu de bougies Suzuki moteur jusqu'à 200 ch - référence : 09482-00649-000  </t>
  </si>
  <si>
    <t>09482-00649-000</t>
  </si>
  <si>
    <t xml:space="preserve">PR Jeu de bougies Suzuki moteur 250 / 300 ch - référence : 09482-00427-000  </t>
  </si>
  <si>
    <t>09482-00427-000</t>
  </si>
  <si>
    <t xml:space="preserve">PR Jeu de bougies Mercury moteur 115 / 150 ch - référence : 8M0176692  </t>
  </si>
  <si>
    <t>8M0176692</t>
  </si>
  <si>
    <t xml:space="preserve">PR Jeu de bougies Mercury moteur supérieur à 175 ch - référence : 8M0176616  </t>
  </si>
  <si>
    <t>8M0176616</t>
  </si>
  <si>
    <t xml:space="preserve">PR Jeu de bougies Yamaha moteur F 115 XB - référence : 947020043700  </t>
  </si>
  <si>
    <t>947020043700</t>
  </si>
  <si>
    <t xml:space="preserve">PR Jeu de bougies Yamaha moteur F 100 XB - référence : 947020044000  </t>
  </si>
  <si>
    <t>947020044000</t>
  </si>
  <si>
    <t xml:space="preserve">PR Jeu de bougies Yamaha moteur F 150 XB - référence : 947020039100  </t>
  </si>
  <si>
    <t>947020039100</t>
  </si>
  <si>
    <t xml:space="preserve">PR Jeu de bougies Yamaha moteur à partir 200 ch - référence : 947020040000  </t>
  </si>
  <si>
    <t>947020040000</t>
  </si>
  <si>
    <t xml:space="preserve">PR Barre franche Suzuki moteur 115 ch - référence : 63002-99L00-YAY  </t>
  </si>
  <si>
    <t>63002-99L00-YAY</t>
  </si>
  <si>
    <t xml:space="preserve">PR Barre franche Mercury moteur 115 ch - référence : 8M0159456  </t>
  </si>
  <si>
    <t>8M0159456</t>
  </si>
  <si>
    <t xml:space="preserve">PR Barre franche Yamaha moteur F 115 XB - référence : 6X4421036A00  </t>
  </si>
  <si>
    <t>6X4421036A00</t>
  </si>
  <si>
    <t xml:space="preserve">PR Plaque support moteur - référence : ART004420   </t>
  </si>
  <si>
    <t>ART004420</t>
  </si>
  <si>
    <t xml:space="preserve">PR Batterie pour moteur EXIDE START - référence : ART000294   </t>
  </si>
  <si>
    <t>ART000294</t>
  </si>
  <si>
    <t xml:space="preserve">PR Batterie pour moteur 50 AH AGM   </t>
  </si>
  <si>
    <t xml:space="preserve">PR Batterie pour moteur 80 AH AGM   </t>
  </si>
  <si>
    <t xml:space="preserve">PR Batterie pour moteur 100 AH AGM   </t>
  </si>
  <si>
    <t xml:space="preserve">PR Batterie pour moteur 120 AH AGM   </t>
  </si>
  <si>
    <t xml:space="preserve">PR Batterie Victron AGM Super cycle 60AH-5M - référence : ART004286  </t>
  </si>
  <si>
    <t>ART004286</t>
  </si>
  <si>
    <t xml:space="preserve">PR Batterie de service 60 AH   </t>
  </si>
  <si>
    <t xml:space="preserve">PR Batterie de service 95 AH   </t>
  </si>
  <si>
    <t xml:space="preserve">PR Jeu d'anodes Suzuki - référence : 55321-87J01-000   </t>
  </si>
  <si>
    <t>55321-87J01-000</t>
  </si>
  <si>
    <t xml:space="preserve">PR Anode de bloc moteur Yamaha moteur F 115 XB - référence : 6G8113250000  </t>
  </si>
  <si>
    <t>6G8113250000</t>
  </si>
  <si>
    <t xml:space="preserve">PR Anode de bloc moteur Yamaha - référence : 67F113250100   </t>
  </si>
  <si>
    <t>67F113250100</t>
  </si>
  <si>
    <t xml:space="preserve">PR Jeu d'anodes Mercury - référence : 818298T1   </t>
  </si>
  <si>
    <t>818298T1</t>
  </si>
  <si>
    <t xml:space="preserve">PR Chargeur batterie CTEK - référence : ART005309   </t>
  </si>
  <si>
    <t>ART005309</t>
  </si>
  <si>
    <t xml:space="preserve">PR Chargeur de quai CRISTEC - référence : ART005349   </t>
  </si>
  <si>
    <t>ART005349</t>
  </si>
  <si>
    <t xml:space="preserve">PR Coupe circuit   </t>
  </si>
  <si>
    <t xml:space="preserve">PR Démarreur Suzuki moteur 115 / 140 ch - référence : 31100-92J00-000  </t>
  </si>
  <si>
    <t>31100-92J00-000</t>
  </si>
  <si>
    <t xml:space="preserve">PR Démarreur Suzuki moteur DF 150 ATX - référence : 31100-98L10-000  </t>
  </si>
  <si>
    <t>31100-98L10-000</t>
  </si>
  <si>
    <t xml:space="preserve">PR Démarreur Mercury moteur 115 ch - référence : 8M0166297   </t>
  </si>
  <si>
    <t>8M0166297</t>
  </si>
  <si>
    <t xml:space="preserve">PR Alternateur Suzuki moteur 115 / 140 ch - référence : 32120-99L00-000  </t>
  </si>
  <si>
    <t>32120-99L00-000</t>
  </si>
  <si>
    <t xml:space="preserve">PR Alternateur Suzuki moteur 150 à 200 ch - référence : 32120-96J00-000  </t>
  </si>
  <si>
    <t>32120-96J00-000</t>
  </si>
  <si>
    <t xml:space="preserve">PR Alternateur Suzuki moteur 250 / 300 ch - référence : 32120-93J10-000  </t>
  </si>
  <si>
    <t>32120-93J10-000</t>
  </si>
  <si>
    <t xml:space="preserve">PR Carène nue 698 XV ALU - référence : ART004631   </t>
  </si>
  <si>
    <t>ART004631</t>
  </si>
  <si>
    <t xml:space="preserve">PR Carène nue 900 XV ALU - référence : ART004506   </t>
  </si>
  <si>
    <t>ART004506</t>
  </si>
  <si>
    <t xml:space="preserve">PR Carène nue 1050 XV ALU   </t>
  </si>
  <si>
    <t xml:space="preserve">PR Carène nue 620 ALU - référence : ART005239   </t>
  </si>
  <si>
    <t>ART005239</t>
  </si>
  <si>
    <t xml:space="preserve">PR Carène nue 820 XV ALU - référence : ART005260   </t>
  </si>
  <si>
    <t>ART005260</t>
  </si>
  <si>
    <t xml:space="preserve">PR Peinture antifooling - Pot de 5 litres   </t>
  </si>
  <si>
    <t xml:space="preserve">PR Plancher 698 XV ALU   </t>
  </si>
  <si>
    <t xml:space="preserve">PR Plancher 900 XV ALU   </t>
  </si>
  <si>
    <t xml:space="preserve">PR Plancher 1050 XV ALU   </t>
  </si>
  <si>
    <t xml:space="preserve">PR Plancher 620 ALU   </t>
  </si>
  <si>
    <t xml:space="preserve">PR Plancher 820 XV ALU   </t>
  </si>
  <si>
    <t xml:space="preserve">PR Jeu anode de coque 698 XV ALU   </t>
  </si>
  <si>
    <t xml:space="preserve">PR Jeu anode de coque 820 XV ALU   </t>
  </si>
  <si>
    <t xml:space="preserve">PR Jeu anode de coque 620 ALU   </t>
  </si>
  <si>
    <t xml:space="preserve">PR Flotteur complet et équipé Zeppelin 620 ALU   </t>
  </si>
  <si>
    <t xml:space="preserve">PR Flotteur complet et équipé Zeppelin 698 XV ALU   </t>
  </si>
  <si>
    <t xml:space="preserve">PR Flotteur complet et équipé Zeppelin 820 XV ALU   </t>
  </si>
  <si>
    <t xml:space="preserve">PR Flotteur complet et équipé Zeppelin 820 XV ALU Rescue   </t>
  </si>
  <si>
    <t xml:space="preserve">PR Liquide de refroidissement Yamalube (par bidon de 20 L) - référence : YMD-65049-00-95  </t>
  </si>
  <si>
    <t>YMD-65049-00-95</t>
  </si>
  <si>
    <t xml:space="preserve">PR Huile inverseur au litre - référence : 990F0-22B33-001   </t>
  </si>
  <si>
    <t>990F0-22B33-001</t>
  </si>
  <si>
    <t xml:space="preserve">PR Huile Yamalub embase GL - référence : YMD730100TA3   </t>
  </si>
  <si>
    <t>YMD730100TA3</t>
  </si>
  <si>
    <t xml:space="preserve">PR Pompe de direction hydraulique pour LS 350 Pro - référence : 2200950  </t>
  </si>
  <si>
    <t xml:space="preserve">PR Vérin de direction hydraulique pour LS 350 Pro - référence : 2203572  </t>
  </si>
  <si>
    <t xml:space="preserve">PR Direction hydraulique pour LS 350 Pro - référence : 2203576  </t>
  </si>
  <si>
    <t xml:space="preserve">PR Flotteur complet et équipé Zeppelin 820 XV ALU patrol   </t>
  </si>
  <si>
    <t xml:space="preserve">PR Flotteur complet et équipé Zeppelin 900 XV ALU Rescue   </t>
  </si>
  <si>
    <t xml:space="preserve">PR Flotteur complet et équipé Zeppelin 900 XV ALU patrol   </t>
  </si>
  <si>
    <t xml:space="preserve">PR Flotteur complet et équipé Zeppelin 1050 XV ALU Rescue   </t>
  </si>
  <si>
    <t xml:space="preserve">PR Flotteur complet et équipé Zeppelin 1050 XV ALU patrol   </t>
  </si>
  <si>
    <t xml:space="preserve">PR Poignée - référence : ART001694   </t>
  </si>
  <si>
    <t>ART001694</t>
  </si>
  <si>
    <t xml:space="preserve">PR Doublage de 0,75 m de largeur - référence : ART002567   </t>
  </si>
  <si>
    <t>ART002567</t>
  </si>
  <si>
    <t xml:space="preserve">PR PPA Lock 180 - 2 bandes de 15 m - référence : ART002558   </t>
  </si>
  <si>
    <t>ART002558</t>
  </si>
  <si>
    <t xml:space="preserve">PR Rallingue Zeppelin (Lot de 2) - référence : ART002816   </t>
  </si>
  <si>
    <t>ART002816</t>
  </si>
  <si>
    <t xml:space="preserve">PR Rallingue Zeppelin (Lot de 2) - référence : ART002817   </t>
  </si>
  <si>
    <t>ART002817</t>
  </si>
  <si>
    <t xml:space="preserve">PR Rallingue Zeppelin (Lot de 2) - référence : ART002818   </t>
  </si>
  <si>
    <t>ART002818</t>
  </si>
  <si>
    <t xml:space="preserve">PR Roll bar - référence : ART005238   </t>
  </si>
  <si>
    <t>ART005238</t>
  </si>
  <si>
    <t xml:space="preserve">PR Roll bar - référence : ART004809   </t>
  </si>
  <si>
    <t>ART004809</t>
  </si>
  <si>
    <t xml:space="preserve">PR Roll bar   </t>
  </si>
  <si>
    <t xml:space="preserve">PR Anneau etrave   </t>
  </si>
  <si>
    <t xml:space="preserve">PR Davier VPro - référence : ART000575   </t>
  </si>
  <si>
    <t>ART000575</t>
  </si>
  <si>
    <t xml:space="preserve">PR Davier XVPro - référence : ART000697   </t>
  </si>
  <si>
    <t>ART000697</t>
  </si>
  <si>
    <t xml:space="preserve">PR Cadène de levage - référence : ART003222   </t>
  </si>
  <si>
    <t>ART003222</t>
  </si>
  <si>
    <t xml:space="preserve">PR Bitte d'amarrage H120 - référence : ART001549   </t>
  </si>
  <si>
    <t>ART001549</t>
  </si>
  <si>
    <t xml:space="preserve">PR Taquet amarrage - référence : 67-737-10   </t>
  </si>
  <si>
    <t>67-737-10</t>
  </si>
  <si>
    <t xml:space="preserve">PR Console de pilotage complète (sans instrument) C800 Pro - référence : ART001431  </t>
  </si>
  <si>
    <t>ART001431</t>
  </si>
  <si>
    <t xml:space="preserve">PR Console de pilotage complète (sans instrument) A800   </t>
  </si>
  <si>
    <t xml:space="preserve">PR Console de pilotage complète (sans instruments) A800 + sièges + sellerie  </t>
  </si>
  <si>
    <t xml:space="preserve">PR Main courante pare brise C800 - référence : ART001602   </t>
  </si>
  <si>
    <t>ART001602</t>
  </si>
  <si>
    <t xml:space="preserve">PR Boitier pupitre MF4 - moteur 115BTX/140BTX / 150ATX / 175ATX / 200ATX / 225TX  </t>
  </si>
  <si>
    <t xml:space="preserve">PR Boitier pupitre électrique MF4 - moteur 115BTGX / 140BTGX / 150APX / 175APX / 200APX / 250APX / 300APX / 300BMDX  </t>
  </si>
  <si>
    <t xml:space="preserve">PR Boitier pupitre double électrique MF4 moteur X2115 / 2X150 / 2X250 / 2X300 / 2X350  </t>
  </si>
  <si>
    <t xml:space="preserve">PR Volant gainé noir T340 - référence : 45-139-33   </t>
  </si>
  <si>
    <t>45-139-33</t>
  </si>
  <si>
    <t xml:space="preserve">PR Indicateur moteur - référence : 34200-93J14-000   </t>
  </si>
  <si>
    <t>34200-93J14-000</t>
  </si>
  <si>
    <t xml:space="preserve">PR Speedomètre - référence : 34100-93J13-000   </t>
  </si>
  <si>
    <t>34100-93J13-000</t>
  </si>
  <si>
    <t xml:space="preserve">PR Indicateur TRIM - référence : 34800-93J13-000   </t>
  </si>
  <si>
    <t>34800-93J13-000</t>
  </si>
  <si>
    <t xml:space="preserve">PR Calculateur moteur 150 ATX - référence : 33920-96LU0-000   </t>
  </si>
  <si>
    <t>33920-96LU0-000</t>
  </si>
  <si>
    <t xml:space="preserve">PR Calculateur moteur 200 APX - référence : 33920-96LR0-000   </t>
  </si>
  <si>
    <t>33920-96LR0-000</t>
  </si>
  <si>
    <t xml:space="preserve">PR Calculateur moteur 250 APX - référence : 33930-98JA0-000   </t>
  </si>
  <si>
    <t>33930-98JA0-000</t>
  </si>
  <si>
    <t xml:space="preserve">PR Ampèremètre numérique   </t>
  </si>
  <si>
    <t xml:space="preserve">PR Voltmètre - référence : 34600-93J13-000   </t>
  </si>
  <si>
    <t>34600-93J13-000</t>
  </si>
  <si>
    <t xml:space="preserve">PR Multimètre numérique   </t>
  </si>
  <si>
    <t xml:space="preserve">PR Compte tour numérique - référence : 34011-96L44-000   </t>
  </si>
  <si>
    <t>34011-96L44-000</t>
  </si>
  <si>
    <t xml:space="preserve">PR Tableau électrique 8 POS étanche - référence : ART000245   </t>
  </si>
  <si>
    <t>ART000245</t>
  </si>
  <si>
    <t xml:space="preserve">PR Interrupteur pompe de câle - référence : 16.600.12   </t>
  </si>
  <si>
    <t>16.600.12</t>
  </si>
  <si>
    <t xml:space="preserve">PR Kit arrêt d'urgence Mercury moteur - référence : 19674A07   </t>
  </si>
  <si>
    <t>19674A07</t>
  </si>
  <si>
    <t xml:space="preserve">PR Jeu de fusibles Suzuki - référence : 09481-60403-000   </t>
  </si>
  <si>
    <t>09481-60403-000</t>
  </si>
  <si>
    <t xml:space="preserve">PR Fusible 10A Yamaha moteur 200/250/300 - référence : 67F821514000  </t>
  </si>
  <si>
    <t>67F821514000</t>
  </si>
  <si>
    <t xml:space="preserve">PR Fusible 15A Yamaha moteur 200/250/300 - référence : 67F821505000  </t>
  </si>
  <si>
    <t>67F821505000</t>
  </si>
  <si>
    <t xml:space="preserve">PR Réglette LED 10-30VDC - référence :   </t>
  </si>
  <si>
    <t xml:space="preserve">PR Projecteur de recherche 1000 Lumens - référence : PP1000LED  </t>
  </si>
  <si>
    <t>PP1000LED</t>
  </si>
  <si>
    <t xml:space="preserve">PR Projecteur de recherche 3000 Lumens - référence : PP3000LED  </t>
  </si>
  <si>
    <t>PP3000LED</t>
  </si>
  <si>
    <t xml:space="preserve">PR Projecteur de travail à main - référence : AS332   </t>
  </si>
  <si>
    <t>AS332</t>
  </si>
  <si>
    <t xml:space="preserve">PR Projecteur de travail à main à LED - référence : AS646   </t>
  </si>
  <si>
    <t>AS646</t>
  </si>
  <si>
    <t xml:space="preserve">PR Projecteur fixe à LED - référence : M14LED1224   </t>
  </si>
  <si>
    <t>M14LED1224</t>
  </si>
  <si>
    <t xml:space="preserve">PR Gyrophare LED bleu Classic Mercura - référence : ART000096  </t>
  </si>
  <si>
    <t>ART000096</t>
  </si>
  <si>
    <t xml:space="preserve">PR Gyrophare LED bleu M130 Mercura - référence : ART004793   </t>
  </si>
  <si>
    <t>ART004793</t>
  </si>
  <si>
    <t xml:space="preserve">PR Gyrophare LED orange Classic Mercura   </t>
  </si>
  <si>
    <t xml:space="preserve">PR Gyrophare LED orange M130 Mercura   </t>
  </si>
  <si>
    <t xml:space="preserve">PR Feux de pénétration L52   </t>
  </si>
  <si>
    <t xml:space="preserve">PR Public adress HAILER IP67 - référence : ART000138   </t>
  </si>
  <si>
    <t>ART000138</t>
  </si>
  <si>
    <t xml:space="preserve">PR Avertisseur sonore 2-tons - référence : ART000495   </t>
  </si>
  <si>
    <t>ART000495</t>
  </si>
  <si>
    <t xml:space="preserve">PR Tableau de commande HR 1012   </t>
  </si>
  <si>
    <t xml:space="preserve">PR Ampoule feu LED mât - référence : ART000303   </t>
  </si>
  <si>
    <t>ART000303</t>
  </si>
  <si>
    <t xml:space="preserve">PR Lampe de courtoisie Houat rouge   </t>
  </si>
  <si>
    <t xml:space="preserve">PR Projecteur LED Valan   </t>
  </si>
  <si>
    <t xml:space="preserve">PR Feu babord Solas - référence : AS347   </t>
  </si>
  <si>
    <t>AS347</t>
  </si>
  <si>
    <t xml:space="preserve">PR Feu babord Solas - référence : AS346   </t>
  </si>
  <si>
    <t>AS346</t>
  </si>
  <si>
    <t xml:space="preserve">PR Feu Naviled 360° blanc - référence : HL816   </t>
  </si>
  <si>
    <t>HL816</t>
  </si>
  <si>
    <t xml:space="preserve">PR Compresseur M1 12 volts pour sirène Marco   </t>
  </si>
  <si>
    <t xml:space="preserve">PR Bolster 1011 Pro - référence : ART001176   </t>
  </si>
  <si>
    <t>ART001176</t>
  </si>
  <si>
    <t xml:space="preserve">PR Bolster A800 ALU - référence :   </t>
  </si>
  <si>
    <t xml:space="preserve">PR Structure jockey mono place grise - référence : ART001090   </t>
  </si>
  <si>
    <t>ART001090</t>
  </si>
  <si>
    <t xml:space="preserve">PR Structure jockey bi place grise - référence : ART001128   </t>
  </si>
  <si>
    <t>ART001128</t>
  </si>
  <si>
    <t xml:space="preserve">PR Assise jockey mono place - référence : ART004237   </t>
  </si>
  <si>
    <t>ART004237</t>
  </si>
  <si>
    <t xml:space="preserve">PR Assise jockey biplace - référence : ART001269   </t>
  </si>
  <si>
    <t>ART001269</t>
  </si>
  <si>
    <t xml:space="preserve">PR Vide vite - référence : ART002896   </t>
  </si>
  <si>
    <t>ART002896</t>
  </si>
  <si>
    <t xml:space="preserve">PR Kit de 3 Produits de nettoyage semi-rigide   </t>
  </si>
  <si>
    <t xml:space="preserve">PR Trappe accès sous pont - référence : ART004353   </t>
  </si>
  <si>
    <t>ART004353</t>
  </si>
  <si>
    <t xml:space="preserve">PR Pompe Rules RM850   </t>
  </si>
  <si>
    <t xml:space="preserve">PR Lot 4 pare battage STAR - référence : ART001683   </t>
  </si>
  <si>
    <t xml:space="preserve">PR Ligne de mouillage sans ancre   </t>
  </si>
  <si>
    <t xml:space="preserve">PR Kit mouillage Pro 7kg - référence : ART000399   </t>
  </si>
  <si>
    <t>ART000399</t>
  </si>
  <si>
    <t xml:space="preserve">PR Kit mouillage Pro 10kg - référence : ART000424   </t>
  </si>
  <si>
    <t>ART000424</t>
  </si>
  <si>
    <t xml:space="preserve">PR Kit mouillage Pro 14kg - référence : ART004715   </t>
  </si>
  <si>
    <t>ART004715</t>
  </si>
  <si>
    <t xml:space="preserve">PR Ancre 7kg - référence : ART000349   </t>
  </si>
  <si>
    <t>ART000349</t>
  </si>
  <si>
    <t xml:space="preserve">PR Ancre 10kg - référence : ART000398   </t>
  </si>
  <si>
    <t>ART000398</t>
  </si>
  <si>
    <t xml:space="preserve">PR Ancre 14kg - référence : ART004647   </t>
  </si>
  <si>
    <t>ART004647</t>
  </si>
  <si>
    <t xml:space="preserve">PR Roue de remorque N2052MF Nautilus - référence : PR12021   </t>
  </si>
  <si>
    <t>PR12021</t>
  </si>
  <si>
    <t xml:space="preserve">PR Roue de remorque N2352MF et N2552MF Nautilus - référence : PR12020  </t>
  </si>
  <si>
    <t>PR12020</t>
  </si>
  <si>
    <t xml:space="preserve">PR Roue de remorque D1623 Sunway fast - référence : S02077   </t>
  </si>
  <si>
    <t>S02077</t>
  </si>
  <si>
    <t xml:space="preserve">PR Roue jockey remorque N2052MF et N2352MF Nautilus - référence : PR13007  </t>
  </si>
  <si>
    <t>PR13007</t>
  </si>
  <si>
    <t xml:space="preserve">PR Roue jockey remorque N2552MF Nautilus - référence : PR13006  </t>
  </si>
  <si>
    <t>PR13006</t>
  </si>
  <si>
    <t xml:space="preserve">PR Roue jockey remorque D1623 et D1628 Sunway fast - référence : S05236  </t>
  </si>
  <si>
    <t>S05236</t>
  </si>
  <si>
    <t xml:space="preserve">PR Treuil manuel remorque N2052MF et N2352MF Nautilus - référence : PF702200-C1  </t>
  </si>
  <si>
    <t>PF702200-C1</t>
  </si>
  <si>
    <t xml:space="preserve">PR Treuil manuel remorque N2552MF Nautilus - référence : PF703000  </t>
  </si>
  <si>
    <t>PF703000</t>
  </si>
  <si>
    <t xml:space="preserve">PR Treuil manuel remorque D1623 Sunway fast - référence : S05883  </t>
  </si>
  <si>
    <t>S05883</t>
  </si>
  <si>
    <t xml:space="preserve">PR Câble frein (x2) remorque Nautilus - référence : PR05005   </t>
  </si>
  <si>
    <t>PR05005</t>
  </si>
  <si>
    <t xml:space="preserve">PR Valve de gonflage flotteur - référence : ART001898   </t>
  </si>
  <si>
    <t>ART001898</t>
  </si>
  <si>
    <t xml:space="preserve">PR Valve de surpression flotteur - référence : ART001699   </t>
  </si>
  <si>
    <t>ART001699</t>
  </si>
  <si>
    <t xml:space="preserve">PR Kit de réparation flotteur - référence : ART002882   </t>
  </si>
  <si>
    <t>ART002882</t>
  </si>
  <si>
    <t xml:space="preserve">PR Gonfleur électrique Turbomax - référence : ART000379   </t>
  </si>
  <si>
    <t>ART000379</t>
  </si>
  <si>
    <t xml:space="preserve">PR Gonfleur à pied - référence : ART000380   </t>
  </si>
  <si>
    <t>ART000380</t>
  </si>
  <si>
    <t xml:space="preserve">PR Câble frein (x2) + crochet - remorque Sunway fast - référence : S03094W / S03095W  </t>
  </si>
  <si>
    <t>S03094W / S03095W</t>
  </si>
  <si>
    <t xml:space="preserve">PR Moyeu de roue remorque N2052MF et N2352MF Nautilus   </t>
  </si>
  <si>
    <t xml:space="preserve">PR Moyeu de roue remorque N2552MF Nautilus   </t>
  </si>
  <si>
    <t xml:space="preserve">PR Moyeu de roue remorque D1623 Sunway fast - référence : S03128W  </t>
  </si>
  <si>
    <t>S03128W</t>
  </si>
  <si>
    <t xml:space="preserve">PR Kit réparation moyeu de roue remorque N2052MF et N2352MF et N2352MF Nautilus  </t>
  </si>
  <si>
    <t xml:space="preserve">PR Kit réparation moyeu de roue remorque N2552MF Nautilus   </t>
  </si>
  <si>
    <t xml:space="preserve">PR Kit réparation moyeu de roue remorque D1623 Sunway fast - référence : S03128W  </t>
  </si>
  <si>
    <t xml:space="preserve">PR Ensemble amovible plaque feux arrières remorque N2052MF Nautilus - référence : AF00149  </t>
  </si>
  <si>
    <t>AF00149</t>
  </si>
  <si>
    <t xml:space="preserve">PR Ensemble amovible plaque feux arrières remorque N2352MF et N2552MF Nautilus - référence : AF00151  </t>
  </si>
  <si>
    <t>AF00151</t>
  </si>
  <si>
    <t xml:space="preserve">PR Ensemble amovible plaque feux arrières remorque R2052MF Rocca - référence : AF00149  </t>
  </si>
  <si>
    <t xml:space="preserve">PR Support feu led arrière droit remorque N2052MF, N2352MF et N2552MF Nautilus - référence : PR07059  </t>
  </si>
  <si>
    <t>PR07059</t>
  </si>
  <si>
    <t xml:space="preserve">PR Support feu arrière droit remorque D1623 et D1628 Sunway fast - référence : S10004  </t>
  </si>
  <si>
    <t>S10004</t>
  </si>
  <si>
    <t xml:space="preserve">PR Support feu led arrière droit remorque R2052MF, R2352MF et R2552MF Rocca - référence : PR07059  </t>
  </si>
  <si>
    <t xml:space="preserve">PR Support feu led arrière gauche remorque N2052MF, N2352MF et N2552MF Nautilus - référence : PR07058  </t>
  </si>
  <si>
    <t>PR07058</t>
  </si>
  <si>
    <t xml:space="preserve">PR Support feu arrière gauche remorque D1623 Sunway fast - référence : S10003  </t>
  </si>
  <si>
    <t>S10003</t>
  </si>
  <si>
    <t xml:space="preserve">PR Support feu arrière gauche remorque D1628 Sunway fast - référence : S10005  </t>
  </si>
  <si>
    <t>S10005</t>
  </si>
  <si>
    <t xml:space="preserve">PR Platine feu led arrière droit remorque N2052MF, N2352MF et N2552MF Nautilus - référence : PR07059  </t>
  </si>
  <si>
    <t xml:space="preserve">PR Platine feu arrière droit remorque D1623 et D1628 Sunway fast - référence : S10004  </t>
  </si>
  <si>
    <t xml:space="preserve">PR Platine feu led arrière droit remorque R2052MF, R2352MF et R2552MF Rocca - référence : PR07059  </t>
  </si>
  <si>
    <t xml:space="preserve">PR Platine feu led arrière gauche remorque N2052MF, N2352MF et N2552MF Nautilus - référence : PR07058  </t>
  </si>
  <si>
    <t xml:space="preserve">PR Platine feu arrière gauche remorque D1623 Sunway fast - référence : S10003  </t>
  </si>
  <si>
    <t xml:space="preserve">PR Platine feu arrière gauche remorque D1628 Sunway fast - référence : S10005  </t>
  </si>
  <si>
    <t xml:space="preserve">PR Moteur F130 XCA Yamaha complet - référence : F130 XCA   </t>
  </si>
  <si>
    <t>F130 XCA</t>
  </si>
  <si>
    <t xml:space="preserve">PR Moteur F150 XC Yamaha complet - référence : F150XC   </t>
  </si>
  <si>
    <t xml:space="preserve">PR Moteur F200 XCB Yamaha complet - référence : F200 XCB   </t>
  </si>
  <si>
    <t>F200 XCB</t>
  </si>
  <si>
    <t xml:space="preserve">PR Moteur LF150XCB Yamaha complet - référence : LF150XCB   </t>
  </si>
  <si>
    <t>LF150XCB</t>
  </si>
  <si>
    <t xml:space="preserve">PR Moteur F250NSB Yamaha complet - référence : F250NSB   </t>
  </si>
  <si>
    <t xml:space="preserve">PR Moteur F300NSB Yamaha complet - référence : F300NSB   </t>
  </si>
  <si>
    <t xml:space="preserve">PR Moteur F350NSA Yamaha complet - référence : F350NSA   </t>
  </si>
  <si>
    <t xml:space="preserve">PR Moteur F200 XL Fourstroke Mercury complet - référence : F200 XL Fourstroke  </t>
  </si>
  <si>
    <t>F200 XL FOURSTROKE</t>
  </si>
  <si>
    <t xml:space="preserve">PR Moteur F200 DTS XL Seapro Mercury complet - référence : F200 DTS XL Seapro  </t>
  </si>
  <si>
    <t>F200 DTS XL SEAPRO</t>
  </si>
  <si>
    <t xml:space="preserve">PR Moteur F150 EFI XL Mercury complet - référence : F150 EFI XL  </t>
  </si>
  <si>
    <t>F150 EFI XL</t>
  </si>
  <si>
    <t xml:space="preserve">PR Moteur 150 EFI CLS XL Seapro Mercury complet - référence : F150 EFI CMS XL Seapro  </t>
  </si>
  <si>
    <t>F150 EFI CMS XL SEAPRO</t>
  </si>
  <si>
    <t xml:space="preserve">PR Moteur F175 XL Fourstroke Mercury complet - référence : 175 XL Fourstroke  </t>
  </si>
  <si>
    <t>175 XL FOURSTROKE</t>
  </si>
  <si>
    <t xml:space="preserve">PR Moteur F115 EFI CT EXLPT Mercury complet - référence : F115 EFI CT EXLPT  </t>
  </si>
  <si>
    <t>F115 EFI CT EXLPT</t>
  </si>
  <si>
    <t xml:space="preserve">PR Moteur F115 EFI CMS EXLPT SEA Pro Mercury complet - référence : F115 EFI CMS EXLPT SEA PRO  </t>
  </si>
  <si>
    <t>F115 EFI CMS EXLPT SEA PRO</t>
  </si>
  <si>
    <t xml:space="preserve">PR Moteur F250 DTS CMC XL Seapro Mercury complet - référence : F250 DTS CMC XL Seapro  </t>
  </si>
  <si>
    <t>F250 DTS CMC XL SEAPRO</t>
  </si>
  <si>
    <t xml:space="preserve">PR Moteur F250 XL Vérado Mercury complet - référence : F250 XL Vérado  </t>
  </si>
  <si>
    <t>F250 XL VERADO</t>
  </si>
  <si>
    <t xml:space="preserve">PR Moteur F300 DTS CMS Seapro Mercury complet - référence : F300 DTS CMS Seapro  </t>
  </si>
  <si>
    <t>F300 DTS CMS SEAPRO</t>
  </si>
  <si>
    <t xml:space="preserve">PR Moteur F300 XL Vérado Mercury complet - référence : F300 XL Vérado  </t>
  </si>
  <si>
    <t>F300 XL VERADO</t>
  </si>
  <si>
    <t xml:space="preserve">PR Embase Suzuki moteur DF 300 APX - référence : 50040-96838-YAY  </t>
  </si>
  <si>
    <t xml:space="preserve">PR Embase Mercury moteur F 115 EFI CT - référence : 8M0088075  </t>
  </si>
  <si>
    <t>8M0088075</t>
  </si>
  <si>
    <t xml:space="preserve">PR Pare-brise console C800 - référence : ART001486   </t>
  </si>
  <si>
    <t>ART001486</t>
  </si>
  <si>
    <t xml:space="preserve">PR Embase Mercury moteur F 115 EFI Seapro - référence : 8M0099916  </t>
  </si>
  <si>
    <t>8M0099916</t>
  </si>
  <si>
    <t xml:space="preserve">PR Embase Mercury moteur F 150 EFI - référence : 8M0099221   </t>
  </si>
  <si>
    <t>8M0099221</t>
  </si>
  <si>
    <t xml:space="preserve">PR Embase Mercury moteur F 150 EFI Seapro - référence : 8M0187302  </t>
  </si>
  <si>
    <t>8M0187302</t>
  </si>
  <si>
    <t xml:space="preserve">PR Embase Mercury moteur F 175 Fourstroke - référence : 8M0142295  </t>
  </si>
  <si>
    <t>8M0142295</t>
  </si>
  <si>
    <t xml:space="preserve">PR Embase Mercury moteur F 200 Fourstroke - référence : 8M0142295  </t>
  </si>
  <si>
    <t xml:space="preserve">PR Embase Mercury moteur F 200 DTS Seapro - référence : 8M0142304  </t>
  </si>
  <si>
    <t>8M0142304</t>
  </si>
  <si>
    <t xml:space="preserve">PR Embase Mercury moteur F 250 Vérado - référence : 8M0142324  </t>
  </si>
  <si>
    <t>8M0142324</t>
  </si>
  <si>
    <t xml:space="preserve">PR Embase Mercury moteur F 250 DTS Seapro - référence : 8M0142331  </t>
  </si>
  <si>
    <t>8M0142331</t>
  </si>
  <si>
    <t xml:space="preserve">PR Embase Mercury moteur F 300 Vérado - référence : 8M0142324  </t>
  </si>
  <si>
    <t xml:space="preserve">PR Embase Mercury moteur F 300 DTS CMS Seapro - référence : 8M0142319  </t>
  </si>
  <si>
    <t>8M0142319</t>
  </si>
  <si>
    <t xml:space="preserve">PR Embase Yamaha moteur F 115 XB - référence : 6EK45300138D   </t>
  </si>
  <si>
    <t>6EK45300138D</t>
  </si>
  <si>
    <t xml:space="preserve">PR Embase Yamaha moteur F 150 XB - référence : 63P45300178D   </t>
  </si>
  <si>
    <t>63P45300178D</t>
  </si>
  <si>
    <t xml:space="preserve">PR Embase Yamaha moteur F 250 NCB - référence : 6KZ45300008D   </t>
  </si>
  <si>
    <t>6KZ45300008D</t>
  </si>
  <si>
    <t xml:space="preserve">PR Embase Yamaha moteur F 300 NCB - référence : 6KZ45300008D   </t>
  </si>
  <si>
    <t xml:space="preserve">PR Hélice Mercury moteur F 115 EFI CT - référence : 8M0151231  </t>
  </si>
  <si>
    <t>8M0151231</t>
  </si>
  <si>
    <t xml:space="preserve">PR Hélice Mercury moteur F 115 EFI Seapro - référence : 832832A45  </t>
  </si>
  <si>
    <t>832832A45</t>
  </si>
  <si>
    <t xml:space="preserve">PR Hélice Mercury moteur F 150 EFI - référence : 8M0151231   </t>
  </si>
  <si>
    <t xml:space="preserve">PR Hélice Mercury moteur F 150 EFI Seapro - référence : 8M0151231  </t>
  </si>
  <si>
    <t xml:space="preserve">PR Hélice Mercury moteur F 175 Fourstroke - référence : 8M0151231  </t>
  </si>
  <si>
    <t xml:space="preserve">PR Hélice Mercury moteur F 200 Fourstroke - référence : 8M0151231  </t>
  </si>
  <si>
    <t xml:space="preserve">PR Hélice Mercury moteur F 200 DTS Seapro - référence : 8M0151231  </t>
  </si>
  <si>
    <t xml:space="preserve">PR Hélice Mercury moteur F 250 Vérado - référence : 8M0151231  </t>
  </si>
  <si>
    <t xml:space="preserve">PR Hélice Mercury moteur F 250 DTS Seapro - référence : 8M0151231  </t>
  </si>
  <si>
    <t xml:space="preserve">PR Hélice Mercury moteur F 300 Vérado - référence : 8M0151231  </t>
  </si>
  <si>
    <t xml:space="preserve">PR Hélice Mercury moteur F 300 DTS CMS Seapro - référence : 8M0151231  </t>
  </si>
  <si>
    <t xml:space="preserve">PR Hélice Yamaha moteur F 115 XB - référence : TYPE-K   </t>
  </si>
  <si>
    <t>TYPE-K</t>
  </si>
  <si>
    <t xml:space="preserve">PR Hélice Yamaha moteur F 150 XB - référence : RELIANCE   </t>
  </si>
  <si>
    <t>RELIAE</t>
  </si>
  <si>
    <t xml:space="preserve">PR Hélice Yamaha moteur F 250 NCB - référence : SALTWATER   </t>
  </si>
  <si>
    <t>SALTWATER</t>
  </si>
  <si>
    <t xml:space="preserve">PR Hélice Yamaha moteur F 300 NCB - référence : SALTWATER   </t>
  </si>
  <si>
    <t xml:space="preserve">PR Turbine Yamaha moteur jusqu'à 200X - référence : 6E5443520100  </t>
  </si>
  <si>
    <t>6E5443520100</t>
  </si>
  <si>
    <t xml:space="preserve">PR Turbine Yamaha moteur à partir 200N - référence : 6CE443520000  </t>
  </si>
  <si>
    <t>6CE443520000</t>
  </si>
  <si>
    <t xml:space="preserve">PR Arbre de transmission Mercury moteur F 115 - référence : 8M0094340  </t>
  </si>
  <si>
    <t>8M0094340</t>
  </si>
  <si>
    <t xml:space="preserve">PR Arbre de transmission Mercury moteur F 150 EFI - référence : 8M0063505  </t>
  </si>
  <si>
    <t>8M0063505</t>
  </si>
  <si>
    <t xml:space="preserve">PR Arbre de transmission Mercury moteur F 150 EFI Seapro - référence : 8M0014411  </t>
  </si>
  <si>
    <t>8M0014411</t>
  </si>
  <si>
    <t xml:space="preserve">PR Arbre de transmission Mercury moteur 175/200 Fourstroke - référence : 8M0168206  </t>
  </si>
  <si>
    <t>8M0168206</t>
  </si>
  <si>
    <t xml:space="preserve">PR Arbre de transmission Mercury moteur à partir 200ch - référence : 8M0168208  </t>
  </si>
  <si>
    <t>8M0168208</t>
  </si>
  <si>
    <t xml:space="preserve">PR Arbre vertical de transmission Yamaha moteur F 115 XB - référence : 6EK455011000  </t>
  </si>
  <si>
    <t>6EK455011000</t>
  </si>
  <si>
    <t xml:space="preserve">PR Arbre vertical de transmission Yamaha moteur F 150 XB - référence : 63P455011100  </t>
  </si>
  <si>
    <t>63P455011100</t>
  </si>
  <si>
    <t xml:space="preserve">PR Arbre vertical de transmission Yamaha moteur F 200 XCA - référence : 6DA455011000  </t>
  </si>
  <si>
    <t>6DA455011000</t>
  </si>
  <si>
    <t xml:space="preserve">PR Arbre vertical de transmission Yamaha moteur F 250 NCB / 300 NCB - référence : 6KF458020000  </t>
  </si>
  <si>
    <t>6KF458020000</t>
  </si>
  <si>
    <t xml:space="preserve">PR Thermostat Mercury moteur à partir 175 ch - référence : 8M0162139  </t>
  </si>
  <si>
    <t>8M0162139</t>
  </si>
  <si>
    <t xml:space="preserve">PR Thermostat Yamaha moteur F 115 XB - référence : 6EK124110000  </t>
  </si>
  <si>
    <t>6EK124110000</t>
  </si>
  <si>
    <t xml:space="preserve">PR Thermostat Yamaha moteur F 150 XB - référence : 67FP124110100  </t>
  </si>
  <si>
    <t>67FP124110100</t>
  </si>
  <si>
    <t xml:space="preserve">PR Thermostat Yamaha moteur F 200 XCA - référence : 6DA124110100  </t>
  </si>
  <si>
    <t>6DA124110100</t>
  </si>
  <si>
    <t xml:space="preserve">PR Thermostat Yamaha moteur à partir 250 ch - référence : 6CE124110000  </t>
  </si>
  <si>
    <t>6CE124110000</t>
  </si>
  <si>
    <t xml:space="preserve">PR Démarreur Mercury moteur à partir 150 ch - référence : 8M0187292  </t>
  </si>
  <si>
    <t>8M0187292</t>
  </si>
  <si>
    <t xml:space="preserve">PR Démarreur Yamaha moteur F 115 XB - référence : 6EM818000200  </t>
  </si>
  <si>
    <t>6EM818000200</t>
  </si>
  <si>
    <t xml:space="preserve">PR Démarreur Yamaha moteur F 150 XcB - référence : 6BR88000200  </t>
  </si>
  <si>
    <t>6BR88000200</t>
  </si>
  <si>
    <t xml:space="preserve">PR Démarreur Yamaha moteur F 200 XCA - référence : 6CB818000100  </t>
  </si>
  <si>
    <t>6CB818000100</t>
  </si>
  <si>
    <t xml:space="preserve">PR Démarreur Yamaha moteur F 250 / F300 NCB - référence : 6CE818000200  </t>
  </si>
  <si>
    <t>6CE818000200</t>
  </si>
  <si>
    <t xml:space="preserve">PR Pompe à eau Yamaha moteur F 115 XB - référence : 68VW00780100  </t>
  </si>
  <si>
    <t>68VW00780100</t>
  </si>
  <si>
    <t xml:space="preserve">PR Pompe à eau Yamaha moteur 150 / 200 ch - référence : 61AW0078A400  </t>
  </si>
  <si>
    <t>61AW0078A400</t>
  </si>
  <si>
    <t xml:space="preserve">PR Pompe à eau Yamaha moteur F 250 / 300 NCB - référence : 6CRW00780200  </t>
  </si>
  <si>
    <t>6CRW00780200</t>
  </si>
  <si>
    <t xml:space="preserve">PR Rallingue Zeppelin (LOT DE 2) - référence : ART002819   </t>
  </si>
  <si>
    <t>ART002819</t>
  </si>
  <si>
    <t xml:space="preserve">PR Rallingue Zeppelin (LOT DE 2)   </t>
  </si>
  <si>
    <t xml:space="preserve">PR Roue de remorque D1628 Sunway fast - référence : S02080   </t>
  </si>
  <si>
    <t>S02080</t>
  </si>
  <si>
    <t xml:space="preserve">PR Roue de remorque R2052MF Rocca - référence : PR12021   </t>
  </si>
  <si>
    <t xml:space="preserve">PR Roue de remorque R2352MF et R2552 Rocca - référence : PR12020  </t>
  </si>
  <si>
    <t xml:space="preserve">PR Roue de remorque GD13 Sunway galaxy - référence : S02077   </t>
  </si>
  <si>
    <t xml:space="preserve">PR Roue de remorque GD16 Sunway galaxy - référence : S02079   </t>
  </si>
  <si>
    <t>S02079</t>
  </si>
  <si>
    <t xml:space="preserve">PR Roue de remorque VXD12 Mécanorem - référence : T-29962   </t>
  </si>
  <si>
    <t>T-29962</t>
  </si>
  <si>
    <t xml:space="preserve">PR Roue de remorque VXD16 Mécanorem - référence : T-29916   </t>
  </si>
  <si>
    <t>T-29916</t>
  </si>
  <si>
    <t xml:space="preserve">PR Roue jockey remorque R2052MF et R2352MF Rocca - référence : PR13007  </t>
  </si>
  <si>
    <t xml:space="preserve">PR Roue jockey remorque R2552MF Rocca - référence : PR13006   </t>
  </si>
  <si>
    <t xml:space="preserve">PR Roue jockey remorque GD13 et GD18 Sunway galaxy - référence : S05236  </t>
  </si>
  <si>
    <t xml:space="preserve">PR Roue jockey remorque VXD12 et VXD16 Mécanorem - référence : T-13062  </t>
  </si>
  <si>
    <t>T-13062</t>
  </si>
  <si>
    <t xml:space="preserve">PR Treuil manuel remorque D1628 Sunway fast - référence : S05884  </t>
  </si>
  <si>
    <t>S05884</t>
  </si>
  <si>
    <t xml:space="preserve">PR Treuil manuel remorque R2052MF et R2352MF Rocca - référence : PF702200-C1  </t>
  </si>
  <si>
    <t xml:space="preserve">PR Treuil manuel remorque R2552MF Rocca - référence : PF703000  </t>
  </si>
  <si>
    <t xml:space="preserve">PR Treuil manuel remorque GD13 et GD18 Sunway galaxy - référence : S05884  </t>
  </si>
  <si>
    <t xml:space="preserve">PR Moyeu de roue remorque D1628 Sunway fast - référence : S03131W  </t>
  </si>
  <si>
    <t>S03131W</t>
  </si>
  <si>
    <t xml:space="preserve">PR Moyeu de roue remorque R2052MF et N2352MF Rocca   </t>
  </si>
  <si>
    <t xml:space="preserve">PR Moyeu de roue remorque R2552MF Rocca   </t>
  </si>
  <si>
    <t xml:space="preserve">PR Moyeu de roue remorque GD13 Sunway galaxy - référence : 5909  </t>
  </si>
  <si>
    <t>05909</t>
  </si>
  <si>
    <t xml:space="preserve">PR Moyeu de roue remorque GD18 Sunway galaxy - référence : 15197  </t>
  </si>
  <si>
    <t>15197</t>
  </si>
  <si>
    <t xml:space="preserve">PR Moyeu de roue ou tambour remorque VXD12 Mécanorem - référence : T-22363PE  </t>
  </si>
  <si>
    <t>T-22363PE</t>
  </si>
  <si>
    <t xml:space="preserve">PR Moyeu de roue ou tambour remorque VXD16 Mécanorem - référence : T-22368WP  </t>
  </si>
  <si>
    <t>T-22368WP</t>
  </si>
  <si>
    <t xml:space="preserve">PR Ensemble amovible plaque feux arrières remorque R2352MF et R2552MF Rocca - référence : AF00151  </t>
  </si>
  <si>
    <t xml:space="preserve">PR Support feu arrière droit remorque GD13 et GD18 Sunway galaxy - référence : S10412  </t>
  </si>
  <si>
    <t>S10412</t>
  </si>
  <si>
    <t xml:space="preserve">PR Support feu arrière droit remorque VXD12 et VXD16 Mécanorem - référence : T-15420  </t>
  </si>
  <si>
    <t>T-15420</t>
  </si>
  <si>
    <t xml:space="preserve">PR Support feu led arrière gauche remorque R2052MF, R2352MF et R2552MF Rocca - référence : PR07058  </t>
  </si>
  <si>
    <t xml:space="preserve">PR Support feu arrière gauche remorque GD13 et GD18 Sunway galaxy - référence : S10411  </t>
  </si>
  <si>
    <t>S10411</t>
  </si>
  <si>
    <t xml:space="preserve">PR Support feu arrière gauche remorque VXD12 et VXD16 Mécanorem - référence : T-15421  </t>
  </si>
  <si>
    <t>T-15421</t>
  </si>
  <si>
    <t xml:space="preserve">Prestation par CE par auto-certification   </t>
  </si>
  <si>
    <t xml:space="preserve">Passage en catégorie de navigation supérieure   </t>
  </si>
  <si>
    <t xml:space="preserve">Passage dans une autre catégorie de navigation   </t>
  </si>
  <si>
    <t xml:space="preserve">Prestation pour demande de dérogation CSN pour configuration de l#embarcation = étude conformité réglementaire  </t>
  </si>
  <si>
    <t xml:space="preserve">Mise en service et immatriculation - Tous   </t>
  </si>
  <si>
    <t xml:space="preserve">Livraison 1 embarcation par voie routière (remorque) France continentale distance inférieure à 200 km  </t>
  </si>
  <si>
    <t xml:space="preserve">Livraison 1 embarcation par voie routière (remorque) France continentale distance comprise entre 201 et 500 km  </t>
  </si>
  <si>
    <t xml:space="preserve">Livraison 1 embarcation par voie routière (remorque) France continentale distance comprise entre 501 et 800 km  </t>
  </si>
  <si>
    <t xml:space="preserve">Livraison 1 embarcation par voie routière (remorque) France continentale supérieure à 800 Km  </t>
  </si>
  <si>
    <t xml:space="preserve">Livraison 1 embarcation par camion ou plateau France continentale distance inférieure à 200 km  </t>
  </si>
  <si>
    <t xml:space="preserve">Livraison 1 embarcation par camion ou plateau France continentale distance comprise entre 201 et 500 km  </t>
  </si>
  <si>
    <t xml:space="preserve">Livraison 1 embarcation par camion ou plateau France continentale distance comprise entre 501 et 800 km  </t>
  </si>
  <si>
    <t xml:space="preserve">Livraison 1 embarcation par camion ou plateau France continentale distance supérieure à 800 km  </t>
  </si>
  <si>
    <t xml:space="preserve">1 jeu complet de documentation supplémentaire sur l'utilisation de l'ensemble de l'embarcation  </t>
  </si>
  <si>
    <t xml:space="preserve">1 jeu complet de documentation supplémentaire sur la maintenance de l'ensemble de l'embarcation  </t>
  </si>
  <si>
    <t xml:space="preserve">1 jeu complet de documentation supplémentaire sur la maintenance de la motorisation  </t>
  </si>
  <si>
    <t xml:space="preserve">Support de référencement des pièces détachées pour l'embarcation  </t>
  </si>
  <si>
    <t xml:space="preserve">Support de référencement des pièces détachées pour la motorisation  </t>
  </si>
  <si>
    <t xml:space="preserve">Support de référencement des pièces détachées pour la remorque  </t>
  </si>
  <si>
    <t xml:space="preserve">Forfait déplacement d'un spécialiste (hors intervention, prestation utilisation et frais de vie) France continentale distance inférieure à 200 km </t>
  </si>
  <si>
    <t xml:space="preserve">Forfait déplacement d'un spécialiste (hors intervention, prestation utilisation et frais de vie) France continentale distance comprise entre 201 et 500 km </t>
  </si>
  <si>
    <t xml:space="preserve">Forfait déplacement d'un spécialiste (hors intervention, prestation utilisation et frais de vie) France continentale distance comprise entre 501 et 800 km </t>
  </si>
  <si>
    <t xml:space="preserve">Forfait déplacement d'un spécialiste (hors intervention, prestation utilisation et frais de vie) France continentale distance supérieure à 800 km </t>
  </si>
  <si>
    <t xml:space="preserve">Forfait déplacement d'un spécialiste (hors intervention, prestation utilisation et frais de vie) Corse  </t>
  </si>
  <si>
    <t xml:space="preserve">Forfait hébergement 1 nuitée en demi pension en France comprenant nuit d'hotel, petit déjeuner et repas du soir / Forfait 1 </t>
  </si>
  <si>
    <t xml:space="preserve">Forfait hébergement 1 nuitée en demi pension en France comprenant nuit d'hotel, petit déjeuner et repas du soir / Forfait 2 </t>
  </si>
  <si>
    <t xml:space="preserve">Forfait hébergement 1 nuitée en demi pension en France comprenant nuit d'hotel, petit déjeuner et repas du soir / Forfait 3 </t>
  </si>
  <si>
    <t xml:space="preserve">Forfait prise en main France inférieur ou égal à 200 km durée: 1 jour - 5 personnes maxi  </t>
  </si>
  <si>
    <t xml:space="preserve">Forfait prise en main France supérieur à 200 km durée: 1 jour - 5 personnes maxi  </t>
  </si>
  <si>
    <t xml:space="preserve">Forfait prise en main France supérieur à 500 km durée: 1 jour - 5 personnes maxi  </t>
  </si>
  <si>
    <t xml:space="preserve">Forfait prise en main France supérieur à 800 km durée: 1 jour - 5 personnes maxi  </t>
  </si>
  <si>
    <t xml:space="preserve">Forfait prise en main Corse durée: 1 jour - 5 personnes maxi   </t>
  </si>
  <si>
    <t>Module instruction technique embarcation 1 (Collage et geste de base) pour 1 personne sur site défini par le titulaire (frais de transport à la charge du bénéficiaire) - Durée 2 jours</t>
  </si>
  <si>
    <t>Module instruction technique embarcation 2 (Collage difficile) pour 1 personne sur site défini par le titulaire (frais de transport à la charge du bénéficiaire) - Durée 3 jours</t>
  </si>
  <si>
    <t>Module nstruction technique motoriste 1 (Entretien courant du moteur, maintenance standard pour suivi de la garantie) pour 1 personne sur site défini par le titulaire (frais de transport à la charge du bénéficiaire) - Durée 1 jour</t>
  </si>
  <si>
    <t>Module instruction technique motoriste 2 (Aide diagnostic basique) pour 1 personne sur site défini par le titulaire (frais de transport à la charge du bénéficiaire) - Durée 1 jour</t>
  </si>
  <si>
    <t>Module instruction technique utilisateur 1 (Prise en main du bateau en France inférieur 500 kms) pour 1 personne sur site défini par le titulaire (frais de transport à la charge du bénéficiaire) - Durée 1 jour</t>
  </si>
  <si>
    <t>Module instruction technique utilisateur 2 (Prise en main du bateau en France supérieur 500 kms) pour 1 personne sur site défini par le titulaire (frais de transport à la charge du bénéficiaire) - Durée 1 jour</t>
  </si>
  <si>
    <t>Module instruction technique maintenance 1 (Maintenance - Geste de base) pour 1 personne sur site défini par le titulaire (frais de transport à la charge du bénéficiaire) - Durée 1 jour</t>
  </si>
  <si>
    <t>Module instruction technique maintenance 2 (Maintenance Préventif - Curatif) pour 1 personne sur site défini par le titulaire (frais de transport à la charge du bénéficiaire) - Durée 2 jours</t>
  </si>
  <si>
    <t xml:space="preserve">Prestation de maintenance à l'heure   </t>
  </si>
  <si>
    <t xml:space="preserve">Forfait révision jusqu'à 175 ch (hors frais de déplacement et frais de vie)  </t>
  </si>
  <si>
    <t xml:space="preserve">Forfait révision de 200 à 250 ch (hors frais de déplacement et frais de vie)  </t>
  </si>
  <si>
    <t xml:space="preserve">Forfait révision de 300 à 350 ch (hors frais de déplacement et frais de vie)  </t>
  </si>
  <si>
    <t xml:space="preserve">Forfait révision TWIN (hors frais de déplacement et frais de vie)  </t>
  </si>
  <si>
    <t xml:space="preserve">Forfait révision moteur Mercury jusqu'à 175 ch (hors frais de déplacement et frais de vie)  </t>
  </si>
  <si>
    <t xml:space="preserve">Forfait révision moteur Mercury 200 à 250 ch (hors frais de déplacement et frais de vie)  </t>
  </si>
  <si>
    <t xml:space="preserve">Forfait révision moteur Mercury 300 à 350 ch (hors frais de déplacement et frais de vie)  </t>
  </si>
  <si>
    <t xml:space="preserve">Forfait révision moteur Mercury TWIN (hors frais de déplacement et frais de vie)  </t>
  </si>
  <si>
    <t xml:space="preserve">Forfait révision moteur niveau 1 Yamaha jusqu'à F200 L4 (hors frais de déplacement et frais de vie)  </t>
  </si>
  <si>
    <t xml:space="preserve">Forfait révision moteur niveau 1 Yamaha de F200 à F300 V6 (hors frais de déplacement et frais de vie)  </t>
  </si>
  <si>
    <t xml:space="preserve">Forfait révision moteur niveau 1 Yamaha de F300 à F350 (hors frais de déplacement et frais de vie)  </t>
  </si>
  <si>
    <t xml:space="preserve">Forfait révision moteur niveau 1 Yamaha TWIN (hors frais de déplacement et frais de vie)  </t>
  </si>
  <si>
    <t xml:space="preserve">Forfait entretien préventif incluant l'échange de pièces et les opérations de maintenance (hors frais de de déplacement et frais de vie) </t>
  </si>
  <si>
    <t xml:space="preserve">Forfait entretien préventif moteur Mercury incluant l'échange de pièces et les opérations de maintenance (hors frais de déplacement et frais de vie) </t>
  </si>
  <si>
    <t xml:space="preserve">Forfait entretien préventif moteur Yamaha incluant l'échange de pièces et les opérations de maintenance (hors frais de déplacement et frais de vie) </t>
  </si>
  <si>
    <t xml:space="preserve">Forfait maintenance - Tarif horaire   </t>
  </si>
  <si>
    <t xml:space="preserve">Forfait maintenance moteur Mercury - Tarif horaire   </t>
  </si>
  <si>
    <t xml:space="preserve">Forfait maintenance moteur Yamaha - Tarif horaire   </t>
  </si>
  <si>
    <t xml:space="preserve">Accompagnement administratif pour obtention carte grise de la remorque  </t>
  </si>
  <si>
    <t xml:space="preserve">Réunion de pré-chantier prévue sur le site de fabrication du titulaire pour 2 agents sur 2 jours  </t>
  </si>
  <si>
    <t xml:space="preserve">Réception technique prévue sur le site de fabrication du titulaire pour 2 agents sur 2 jours  </t>
  </si>
  <si>
    <t xml:space="preserve">Extension de garantie flotteur 2 ans portant la garantie totale à 4 ans  </t>
  </si>
  <si>
    <t xml:space="preserve">Extension de garantie coque 1 an portant la garantie totale à 2 ans  </t>
  </si>
  <si>
    <t xml:space="preserve">Extension de garantie antifowling 1 an portant la garantie totale à 2 ans  </t>
  </si>
  <si>
    <t xml:space="preserve">Extension de garantie moteur hord-bord Suzuki (tous modèles) 1 an portant la garantie totale à 2 ans  </t>
  </si>
  <si>
    <t xml:space="preserve">Extension de garantie moteur hord-bord Yamaha (tous modèles) 1 an portant la garantie totale à 2 ans  </t>
  </si>
  <si>
    <t xml:space="preserve">Extension de garantie moteur hord-bord Mercury EFI 1 an ou 1000 heures portant la garantie totale à 2 ans  </t>
  </si>
  <si>
    <t xml:space="preserve">Extension de garantie moteur hord-bord Mercury Fourstroke - Verado 1 an / 1000 heures portant la garantie totale à 2 ans  </t>
  </si>
  <si>
    <t xml:space="preserve">Extension de garantie chaîne cinématique (moteur, inverseur, arbre, hélice) Suzuki (tous modèles) 1 an portant la garantie totale à 2 ans </t>
  </si>
  <si>
    <t xml:space="preserve">Extension de garantie chaîne cinématique (moteur, inverseur, arbre, hélice) Yamaha (tous modèles) 1 an portant la garantie totale à 2 ans </t>
  </si>
  <si>
    <t xml:space="preserve">Extension de garantie chaîne cinématique (moteur, inverseur, arbre, hélice) Mercury EFI 1 an portant la garantie totale à 2 ans </t>
  </si>
  <si>
    <t xml:space="preserve">Extension de garantie chaîne cinématique (moteur, inverseur, arbre, hélice) Mercury Fourstroke - Verado 1 an portant la garantie totale à 2 ans </t>
  </si>
  <si>
    <t xml:space="preserve">Extension de garantie équipement amovible 1 an portant la garantie totale à 2 ans  </t>
  </si>
  <si>
    <t xml:space="preserve">Extension de garantie équipement électronique 1 an portant la garantie totale à 2 ans  </t>
  </si>
  <si>
    <t xml:space="preserve">Extension de garantie console de pilotage 1 an portant la garantie totale à 2 ans  </t>
  </si>
  <si>
    <t xml:space="preserve">Extension de garantie cabine 1 an portant la garantie totale à 2 ans  </t>
  </si>
  <si>
    <t xml:space="preserve">Extension de garantie anti-corrosion (chaîne cinématique) 1 an portant la garantie totale à 2 ans  </t>
  </si>
  <si>
    <t xml:space="preserve">Extension de garantie anti-corrosion 1 an portant la garantie totale à 2 ans  </t>
  </si>
  <si>
    <t xml:space="preserve">Extension de garantie remorque 1 an portant la garantie totale à 2 ans  </t>
  </si>
  <si>
    <t xml:space="preserve">Droits et taxes pour DOM/COM TVA achat 0 %   </t>
  </si>
  <si>
    <t xml:space="preserve">Droits et taxes pour DOM/COM TVA achat 20 %   </t>
  </si>
  <si>
    <t xml:space="preserve">Prestations locales DOM/COM TVA achat 0 %   </t>
  </si>
  <si>
    <t xml:space="preserve">Prestations locale DOM/COM TVA achat 8,5 %   </t>
  </si>
  <si>
    <t xml:space="preserve">Prestations locales DOM/COM TVA achat 20 %   </t>
  </si>
  <si>
    <t xml:space="preserve">Frais transport hors France métro TVA achat 0 %   </t>
  </si>
  <si>
    <t xml:space="preserve">Frais transport hors France continentale TVA achat 20 %   </t>
  </si>
  <si>
    <t xml:space="preserve">Frais transport France continentale TVA achat 20 %   </t>
  </si>
  <si>
    <t xml:space="preserve">Assurance TVA 0 %   </t>
  </si>
  <si>
    <t xml:space="preserve">Autres prestations sur devis complémentaire   </t>
  </si>
  <si>
    <t xml:space="preserve">Autres prestations sur devis 5 %   </t>
  </si>
  <si>
    <t xml:space="preserve">Autres options sur devis 5 %   </t>
  </si>
  <si>
    <t xml:space="preserve">Frais carte grise remorque   </t>
  </si>
  <si>
    <t>Libellé complet de l'option</t>
  </si>
  <si>
    <t>A.O.O</t>
  </si>
  <si>
    <t>23U046</t>
  </si>
  <si>
    <t>MINORATIONS</t>
  </si>
  <si>
    <t>Moins-value combiné NSX 3009 XDCR en remplacement de l'HDS PRO 12 fourni de base  - Postes 1, 5, 6, 7 et 8</t>
  </si>
  <si>
    <t>Moins-value combiné NSX12XDCR en remplacement de l'HDS PRO 12 fourni de base - Postes 1, 5, 6, 7 et 8</t>
  </si>
  <si>
    <t>Moins-value module sondeur HDS PRO 10 en remplacement de l'HDS PRO 12 fourni de base</t>
  </si>
  <si>
    <t>Moins-value module sondeur HDS PRO 12 en remplacement de l'HDS PRO 16 fourni de base</t>
  </si>
  <si>
    <t>Moins-value GPS Simrad NSS 12 EVO 3 en remplacement de l'HDS PRO 12 fourni de base</t>
  </si>
  <si>
    <t>Moins-value GPS Simrad NSS 16 EVO 3 en remplacement de l'HDS PRO 16 fourni de base</t>
  </si>
  <si>
    <t>Suppression VHF M510EAIS prévue de base</t>
  </si>
  <si>
    <t>Moins-value VHF Standard Horizon NMEA 2000 STH-GX1850GPSE en remplacement de celle fournie de base</t>
  </si>
  <si>
    <t xml:space="preserve">Moins-value deux sièges jockey (pilote et navigateur) en lieu et place de l'appui-dos tubulaire prévu de base </t>
  </si>
  <si>
    <t>Supression roll bar - Sous réserve des conditions d'exploitation</t>
  </si>
  <si>
    <t xml:space="preserve">Supression roll bar - Sous réserve des conditions d'exploitation </t>
  </si>
  <si>
    <t>Supression du roll bar - Sous réserve des conditions d'exploitation - postes 6 et 7</t>
  </si>
  <si>
    <t>Non fourniture du moteur de base - Poste 1</t>
  </si>
  <si>
    <t>Non fourniture des 2 moteurs de base - Poste 2 et 9</t>
  </si>
  <si>
    <t>Non fourniture des 2 moteurs de base - Poste 3 et 10</t>
  </si>
  <si>
    <t>Moins-value GPSMAP 1223 en remplacement de l'HDS PRO fourni de base - Postes 5 à 7</t>
  </si>
  <si>
    <t>Moins-value GPSMAP 1623 en remplacement de l'HDS PRO fourni de base - Postes 2, 3, 9 et 10</t>
  </si>
  <si>
    <t>Moins-value HDS PRO 10 en remplacement de l'HDS PRO 12 fourni de base - Postes 5 à 7</t>
  </si>
  <si>
    <t>Moins-value HDS PRO 12 en remplacement de l'HDS PRO 16 fourni de base - Postes 8 à 10</t>
  </si>
  <si>
    <t>Moins-value GPS grand écran Simrad NSS 12 en remplacement de l'HDS PRO 12 fourni de base</t>
  </si>
  <si>
    <t>Non fourniture de la VHF M510EAIS prévue de base - Postes 5 à 10</t>
  </si>
  <si>
    <t>Moins-value VHF Standard Horizon NMEA 2000 STH-GX1850GPSE en remplacement de celle fournie de base - Postes 5 à 10</t>
  </si>
  <si>
    <t>Non fourniture du moteur de base - Poste 5</t>
  </si>
  <si>
    <t>Non fourniture du moteur de base - Poste 6</t>
  </si>
  <si>
    <t>Non fourniture du moteur de base - Postes 7 et 8</t>
  </si>
  <si>
    <t>Moins-value console C900S en remplacement console de base - Poste 1, 5, 6 et 7</t>
  </si>
  <si>
    <t>Moins-value GPS Elite FS 9 en remplacement de l'HDS PRO 12 fourni de base - Postes 1, 5, 6, 7 et 8</t>
  </si>
  <si>
    <t>Moins-value combiné NSX9 XDCR en remplacement de l'HDS PRO 12 fourni de base  - Postes 1, 5, 6, 7 et 8</t>
  </si>
  <si>
    <t>Moins-value GPS GO12 XSE en remplacement de l'HDS PRO 12 fourni de base - Postes 1, 5, 6, 7 et 8</t>
  </si>
  <si>
    <t>Moins-value GPS GO9 XSE en remplacement de l'HDS PRO 12 fourni de base - Postes 1, 5, 6, 7 et 8</t>
  </si>
  <si>
    <t>Moins-value GPSMAP 8412 xsv en remplacement HDS PRO 12 - Postes 1, 5, 6, 7 et 8</t>
  </si>
  <si>
    <t>Moins-value GPSMAP 1223 xsv en remplacement HDS PRO 12 - Postes 1, 5, 6, 7 et 8</t>
  </si>
  <si>
    <t>Moins-value GPSMAP 1222 xsv en remplacement HDS PRO 12 - Postes 1, 5, 6, 7 et 8</t>
  </si>
  <si>
    <t>Moins-value pour F&amp;P d'un combiné NSX12XDCR en remplacement de l'HDS PRO 16 fourni de base - Postes 2, 3, 9 et 10</t>
  </si>
  <si>
    <t>Moins-value GPS GO12 XSE en remplacement de l'HDS PRO 16 fourni de base - Postes 2, 3, 9 et 10</t>
  </si>
  <si>
    <t>Moins-value GPSMAP 8416 xsv en remplacement HDS PRO 16 - Postes 2, 3, 9 et 10</t>
  </si>
  <si>
    <t>Non fourniture du caillebotis dans le fond des coffres</t>
  </si>
  <si>
    <t>MINO</t>
  </si>
  <si>
    <t>Kent marine</t>
  </si>
  <si>
    <t>Simrad</t>
  </si>
  <si>
    <t>Icom</t>
  </si>
  <si>
    <t>Zeppelin</t>
  </si>
  <si>
    <t>Suzuki</t>
  </si>
  <si>
    <t>Garmin</t>
  </si>
  <si>
    <t>Marque fabricant</t>
  </si>
  <si>
    <t>Marché n° 416 981
Lot n° 3 - Embarcation semi-rigide à coque aluminium
ZEPPELIN
REVISION DE PRIX N° 1 A LA DATE D'OUVERTURE DU MARCHE</t>
  </si>
  <si>
    <t>N° option</t>
  </si>
  <si>
    <t>B 01</t>
  </si>
  <si>
    <t>B 02</t>
  </si>
  <si>
    <t>B 03</t>
  </si>
  <si>
    <t>B 04</t>
  </si>
  <si>
    <t>B 05</t>
  </si>
  <si>
    <t>B 06</t>
  </si>
  <si>
    <t>B 07</t>
  </si>
  <si>
    <t>B 08</t>
  </si>
  <si>
    <t>B 09</t>
  </si>
  <si>
    <t>M66</t>
  </si>
  <si>
    <t>M67</t>
  </si>
  <si>
    <t>M68</t>
  </si>
  <si>
    <t>M69</t>
  </si>
  <si>
    <t>M70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</si>
  <si>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</si>
  <si>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</si>
  <si>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</si>
  <si>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</si>
  <si>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</si>
  <si>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</si>
  <si>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</si>
  <si>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</si>
  <si>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</si>
  <si>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M82</t>
  </si>
  <si>
    <t>M83</t>
  </si>
  <si>
    <t>M84</t>
  </si>
  <si>
    <t>M85</t>
  </si>
  <si>
    <t>M87</t>
  </si>
  <si>
    <t>M88</t>
  </si>
  <si>
    <t>M89</t>
  </si>
  <si>
    <t>M90</t>
  </si>
  <si>
    <t>M91</t>
  </si>
  <si>
    <t>M92</t>
  </si>
  <si>
    <t>M111</t>
  </si>
  <si>
    <t>M112</t>
  </si>
  <si>
    <t>M116</t>
  </si>
  <si>
    <t>M117</t>
  </si>
  <si>
    <t>M118</t>
  </si>
  <si>
    <t>M126</t>
  </si>
  <si>
    <t>M127</t>
  </si>
  <si>
    <t>M128</t>
  </si>
  <si>
    <t>M129</t>
  </si>
  <si>
    <t>M130</t>
  </si>
  <si>
    <t>M131</t>
  </si>
  <si>
    <t>M132</t>
  </si>
  <si>
    <t>M133</t>
  </si>
  <si>
    <t>M136</t>
  </si>
  <si>
    <t>M137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</si>
  <si>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</si>
  <si>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</si>
  <si>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</si>
  <si>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</si>
  <si>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</si>
  <si>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</si>
  <si>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</si>
  <si>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</si>
  <si>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</si>
  <si>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</si>
  <si>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</si>
  <si>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M156</t>
  </si>
  <si>
    <t>M157</t>
  </si>
  <si>
    <t>M158</t>
  </si>
  <si>
    <t>M159</t>
  </si>
  <si>
    <t>M161</t>
  </si>
  <si>
    <t>M162</t>
  </si>
  <si>
    <t>M211</t>
  </si>
  <si>
    <t>M212</t>
  </si>
  <si>
    <t>M213</t>
  </si>
  <si>
    <t>M214</t>
  </si>
  <si>
    <t>M215</t>
  </si>
  <si>
    <t>M216</t>
  </si>
  <si>
    <t>M217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</si>
  <si>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</si>
  <si>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</si>
  <si>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</si>
  <si>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</si>
  <si>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</si>
  <si>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</si>
  <si>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</si>
  <si>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</si>
  <si>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</si>
  <si>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</si>
  <si>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</si>
  <si>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</si>
  <si>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</si>
  <si>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</si>
  <si>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</si>
  <si>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</si>
  <si>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</si>
  <si>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</si>
  <si>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</si>
  <si>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</si>
  <si>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</si>
  <si>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</si>
  <si>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</si>
  <si>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</si>
  <si>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</si>
  <si>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</si>
  <si>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</si>
  <si>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</si>
  <si>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</si>
  <si>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</si>
  <si>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</si>
  <si>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</si>
  <si>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</si>
  <si>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</si>
  <si>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</si>
  <si>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</si>
  <si>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</si>
  <si>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</si>
  <si>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</si>
  <si>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</si>
  <si>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</si>
  <si>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</si>
  <si>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PR 01</t>
  </si>
  <si>
    <t>PR 02</t>
  </si>
  <si>
    <t>PR 03</t>
  </si>
  <si>
    <t>PR 04</t>
  </si>
  <si>
    <t>PR 05</t>
  </si>
  <si>
    <t>PR 06</t>
  </si>
  <si>
    <t>PR 07</t>
  </si>
  <si>
    <t>PR 08</t>
  </si>
  <si>
    <t>PR 09</t>
  </si>
  <si>
    <t>PR 10</t>
  </si>
  <si>
    <t>PR 11</t>
  </si>
  <si>
    <t>PR 12</t>
  </si>
  <si>
    <t>PR 13</t>
  </si>
  <si>
    <t>PR 14</t>
  </si>
  <si>
    <t>PR 15</t>
  </si>
  <si>
    <t>PR 16</t>
  </si>
  <si>
    <t>PR 17</t>
  </si>
  <si>
    <t>PR 18</t>
  </si>
  <si>
    <t>PR 19</t>
  </si>
  <si>
    <t>PR 20</t>
  </si>
  <si>
    <t>PR 21</t>
  </si>
  <si>
    <t>PR 22</t>
  </si>
  <si>
    <t>PR 23</t>
  </si>
  <si>
    <t>PR 24</t>
  </si>
  <si>
    <t>PR 25</t>
  </si>
  <si>
    <t>PR 26</t>
  </si>
  <si>
    <t>PR 27</t>
  </si>
  <si>
    <t>PR 28</t>
  </si>
  <si>
    <t>PR 29</t>
  </si>
  <si>
    <t>PR 30</t>
  </si>
  <si>
    <t>PR 31</t>
  </si>
  <si>
    <t>PR 32</t>
  </si>
  <si>
    <t>PR 33</t>
  </si>
  <si>
    <t>PR 34</t>
  </si>
  <si>
    <t>PR 35</t>
  </si>
  <si>
    <t>PR 36</t>
  </si>
  <si>
    <t>PR 37</t>
  </si>
  <si>
    <t>PR 38</t>
  </si>
  <si>
    <t>PR 39</t>
  </si>
  <si>
    <t>PR 40</t>
  </si>
  <si>
    <t>PR 41</t>
  </si>
  <si>
    <t>PR 42</t>
  </si>
  <si>
    <t>PR 43</t>
  </si>
  <si>
    <t>PR 44</t>
  </si>
  <si>
    <t>PR 45</t>
  </si>
  <si>
    <t>PR 46</t>
  </si>
  <si>
    <t>PR 47</t>
  </si>
  <si>
    <t>PR 48</t>
  </si>
  <si>
    <t>PR 49</t>
  </si>
  <si>
    <t>PR 50</t>
  </si>
  <si>
    <t>PR 51</t>
  </si>
  <si>
    <t>PR 52</t>
  </si>
  <si>
    <t>PR 53</t>
  </si>
  <si>
    <t>PR 54</t>
  </si>
  <si>
    <t>PR 55</t>
  </si>
  <si>
    <t>PR 56</t>
  </si>
  <si>
    <t>PR 57</t>
  </si>
  <si>
    <t>PR 58</t>
  </si>
  <si>
    <t>PR 59</t>
  </si>
  <si>
    <t>PR 60</t>
  </si>
  <si>
    <t>PR 61</t>
  </si>
  <si>
    <t>PR 62</t>
  </si>
  <si>
    <t>PR 63</t>
  </si>
  <si>
    <t>PR 64</t>
  </si>
  <si>
    <t>PR 65</t>
  </si>
  <si>
    <t>PR 66</t>
  </si>
  <si>
    <t>PR 67</t>
  </si>
  <si>
    <t>PR 68</t>
  </si>
  <si>
    <t>PR 69</t>
  </si>
  <si>
    <t>PR 70</t>
  </si>
  <si>
    <t>PR 71</t>
  </si>
  <si>
    <t>PR 72</t>
  </si>
  <si>
    <t>PR 73</t>
  </si>
  <si>
    <t>PR 74</t>
  </si>
  <si>
    <t>PR 75</t>
  </si>
  <si>
    <t>PR 76</t>
  </si>
  <si>
    <t>PR 77</t>
  </si>
  <si>
    <t>PR 78</t>
  </si>
  <si>
    <t>PR 79</t>
  </si>
  <si>
    <t>PR 80</t>
  </si>
  <si>
    <t>PR 81</t>
  </si>
  <si>
    <t>PR 82</t>
  </si>
  <si>
    <t>PR 83</t>
  </si>
  <si>
    <t>PR 84</t>
  </si>
  <si>
    <t>PR 85</t>
  </si>
  <si>
    <t>PR 86</t>
  </si>
  <si>
    <t>PR 87</t>
  </si>
  <si>
    <t>PR 88</t>
  </si>
  <si>
    <t>PR 89</t>
  </si>
  <si>
    <t>PR 90</t>
  </si>
  <si>
    <t>PR 91</t>
  </si>
  <si>
    <t>PR 92</t>
  </si>
  <si>
    <t>PR 93</t>
  </si>
  <si>
    <t>PR 94</t>
  </si>
  <si>
    <t>PR 95</t>
  </si>
  <si>
    <t>PR 96</t>
  </si>
  <si>
    <t>PR 97</t>
  </si>
  <si>
    <t>PR 98</t>
  </si>
  <si>
    <t>PR 99</t>
  </si>
  <si>
    <t>PR 100</t>
  </si>
  <si>
    <t>PR 101</t>
  </si>
  <si>
    <t>PR 102</t>
  </si>
  <si>
    <t>PR 103</t>
  </si>
  <si>
    <t>PR 104</t>
  </si>
  <si>
    <t>PR 105</t>
  </si>
  <si>
    <t>PR 106</t>
  </si>
  <si>
    <t>PR 107</t>
  </si>
  <si>
    <t>PR 108</t>
  </si>
  <si>
    <t>PR 109</t>
  </si>
  <si>
    <t>PR 110</t>
  </si>
  <si>
    <t>PR 111</t>
  </si>
  <si>
    <t>PR 112</t>
  </si>
  <si>
    <t>PR 113</t>
  </si>
  <si>
    <t>PR 114</t>
  </si>
  <si>
    <t>PR 115</t>
  </si>
  <si>
    <t>PR 116</t>
  </si>
  <si>
    <t>PR 117</t>
  </si>
  <si>
    <t>PR 118</t>
  </si>
  <si>
    <t>PR 119</t>
  </si>
  <si>
    <t>PR 120</t>
  </si>
  <si>
    <t>PR 121</t>
  </si>
  <si>
    <t>PR 122</t>
  </si>
  <si>
    <t>PR 123</t>
  </si>
  <si>
    <t>PR 124</t>
  </si>
  <si>
    <t>PR 125</t>
  </si>
  <si>
    <t>PR 126</t>
  </si>
  <si>
    <t>PR 127</t>
  </si>
  <si>
    <t>PR 128</t>
  </si>
  <si>
    <t>PR 129</t>
  </si>
  <si>
    <t>PR 130</t>
  </si>
  <si>
    <t>PR 131</t>
  </si>
  <si>
    <t>PR 132</t>
  </si>
  <si>
    <t>PR 133</t>
  </si>
  <si>
    <t>PR 134</t>
  </si>
  <si>
    <t>PR 135</t>
  </si>
  <si>
    <t>PR 136</t>
  </si>
  <si>
    <t>PR 137</t>
  </si>
  <si>
    <t>PR 138</t>
  </si>
  <si>
    <t>PR 139</t>
  </si>
  <si>
    <t>PR 140</t>
  </si>
  <si>
    <t>PR 141</t>
  </si>
  <si>
    <t>PR 142</t>
  </si>
  <si>
    <t>PR 143</t>
  </si>
  <si>
    <t>PR 144</t>
  </si>
  <si>
    <t>PR 145</t>
  </si>
  <si>
    <t>PR 146</t>
  </si>
  <si>
    <t>PR 147</t>
  </si>
  <si>
    <t>PR 148</t>
  </si>
  <si>
    <t>PR 149</t>
  </si>
  <si>
    <t>PR 150</t>
  </si>
  <si>
    <t>PR 151</t>
  </si>
  <si>
    <t>PR 152</t>
  </si>
  <si>
    <t>PR 153</t>
  </si>
  <si>
    <t>PR 154</t>
  </si>
  <si>
    <t>PR 155</t>
  </si>
  <si>
    <t>PR 156</t>
  </si>
  <si>
    <t>PR 157</t>
  </si>
  <si>
    <t>PR 158</t>
  </si>
  <si>
    <t>PR 159</t>
  </si>
  <si>
    <t>PR 160</t>
  </si>
  <si>
    <t>PR 161</t>
  </si>
  <si>
    <t>PR 162</t>
  </si>
  <si>
    <t>PR 163</t>
  </si>
  <si>
    <t>PR 164</t>
  </si>
  <si>
    <t>PR 165</t>
  </si>
  <si>
    <t>PR 166</t>
  </si>
  <si>
    <t>PR 167</t>
  </si>
  <si>
    <t>PR 168</t>
  </si>
  <si>
    <t>PR 169</t>
  </si>
  <si>
    <t>PR 170</t>
  </si>
  <si>
    <t>PR 171</t>
  </si>
  <si>
    <t>PR 172</t>
  </si>
  <si>
    <t>PR 173</t>
  </si>
  <si>
    <t>PR 174</t>
  </si>
  <si>
    <t>PR 175</t>
  </si>
  <si>
    <t>PR 176</t>
  </si>
  <si>
    <t>PR 177</t>
  </si>
  <si>
    <t>PR 178</t>
  </si>
  <si>
    <t>PR 179</t>
  </si>
  <si>
    <t>PR 180</t>
  </si>
  <si>
    <t>PR 181</t>
  </si>
  <si>
    <t>PR 182</t>
  </si>
  <si>
    <t>PR 183</t>
  </si>
  <si>
    <t>PR 184</t>
  </si>
  <si>
    <t>PR 185</t>
  </si>
  <si>
    <t>PR 186</t>
  </si>
  <si>
    <t>PR 187</t>
  </si>
  <si>
    <t>PR 188</t>
  </si>
  <si>
    <t>PR 189</t>
  </si>
  <si>
    <t>PR 190</t>
  </si>
  <si>
    <t>PR 191</t>
  </si>
  <si>
    <t>PR 192</t>
  </si>
  <si>
    <t>PR 193</t>
  </si>
  <si>
    <t>PR 194</t>
  </si>
  <si>
    <t>PR 195</t>
  </si>
  <si>
    <t>PR 196</t>
  </si>
  <si>
    <t>PR 197</t>
  </si>
  <si>
    <t>PR 198</t>
  </si>
  <si>
    <t>PR 199</t>
  </si>
  <si>
    <t>PR 200</t>
  </si>
  <si>
    <t>PR 201</t>
  </si>
  <si>
    <t>PR 202</t>
  </si>
  <si>
    <t>PR 203</t>
  </si>
  <si>
    <t>PR 204</t>
  </si>
  <si>
    <t>PR 205</t>
  </si>
  <si>
    <t>PR 206</t>
  </si>
  <si>
    <t>PR 207</t>
  </si>
  <si>
    <t>PR 208</t>
  </si>
  <si>
    <t>PR 209</t>
  </si>
  <si>
    <t>PR 210</t>
  </si>
  <si>
    <t>PR 211</t>
  </si>
  <si>
    <t>PR 212</t>
  </si>
  <si>
    <t>PR 213</t>
  </si>
  <si>
    <t>PR 214</t>
  </si>
  <si>
    <t>PR 215</t>
  </si>
  <si>
    <t>PR 216</t>
  </si>
  <si>
    <t>PR 217</t>
  </si>
  <si>
    <t>PR 218</t>
  </si>
  <si>
    <t>PR 219</t>
  </si>
  <si>
    <t>PR 220</t>
  </si>
  <si>
    <t>PR 221</t>
  </si>
  <si>
    <t>PR 222</t>
  </si>
  <si>
    <t>PR 223</t>
  </si>
  <si>
    <t>PR 224</t>
  </si>
  <si>
    <t>PR 225</t>
  </si>
  <si>
    <t>PR 226</t>
  </si>
  <si>
    <t>PR 227</t>
  </si>
  <si>
    <t>PR 228</t>
  </si>
  <si>
    <t>PR 229</t>
  </si>
  <si>
    <t>PR 230</t>
  </si>
  <si>
    <t>PR 231</t>
  </si>
  <si>
    <t>PR 232</t>
  </si>
  <si>
    <t>PR 233</t>
  </si>
  <si>
    <t>PR 234</t>
  </si>
  <si>
    <t>PR 235</t>
  </si>
  <si>
    <t>PR 236</t>
  </si>
  <si>
    <t>PR 237</t>
  </si>
  <si>
    <t>PR 238</t>
  </si>
  <si>
    <t>PR 239</t>
  </si>
  <si>
    <t>PR 240</t>
  </si>
  <si>
    <t>PR 241</t>
  </si>
  <si>
    <t>PR 242</t>
  </si>
  <si>
    <t>PR 243</t>
  </si>
  <si>
    <t>PR 244</t>
  </si>
  <si>
    <t>PR 245</t>
  </si>
  <si>
    <t>PR 246</t>
  </si>
  <si>
    <t>PR 247</t>
  </si>
  <si>
    <t>PR 248</t>
  </si>
  <si>
    <t>PR 249</t>
  </si>
  <si>
    <t>PR 250</t>
  </si>
  <si>
    <t>PR 251</t>
  </si>
  <si>
    <t>PR 252</t>
  </si>
  <si>
    <t>PR 253</t>
  </si>
  <si>
    <t>PR 254</t>
  </si>
  <si>
    <t>PR 255</t>
  </si>
  <si>
    <t>PR 256</t>
  </si>
  <si>
    <t>PR 257</t>
  </si>
  <si>
    <t>PR 258</t>
  </si>
  <si>
    <t>PR 259</t>
  </si>
  <si>
    <t>PR 260</t>
  </si>
  <si>
    <t>PR 261</t>
  </si>
  <si>
    <t>PR 262</t>
  </si>
  <si>
    <t>PR 263</t>
  </si>
  <si>
    <t>PR 264</t>
  </si>
  <si>
    <t>PR 265</t>
  </si>
  <si>
    <t>PR 266</t>
  </si>
  <si>
    <t>PR 267</t>
  </si>
  <si>
    <t>PR 268</t>
  </si>
  <si>
    <t>PR 269</t>
  </si>
  <si>
    <t>PR 270</t>
  </si>
  <si>
    <t>PR 271</t>
  </si>
  <si>
    <t>PR 272</t>
  </si>
  <si>
    <t>PR 273</t>
  </si>
  <si>
    <t>PR 274</t>
  </si>
  <si>
    <t>PR 275</t>
  </si>
  <si>
    <t>PR 276</t>
  </si>
  <si>
    <t>PR 277</t>
  </si>
  <si>
    <t>PR 278</t>
  </si>
  <si>
    <t>PR 279</t>
  </si>
  <si>
    <t>PR 280</t>
  </si>
  <si>
    <t>PR 281</t>
  </si>
  <si>
    <t>PR 282</t>
  </si>
  <si>
    <t>PR 283</t>
  </si>
  <si>
    <t>PR 284</t>
  </si>
  <si>
    <t>PR 285</t>
  </si>
  <si>
    <t>PR 286</t>
  </si>
  <si>
    <t>PR 287</t>
  </si>
  <si>
    <t>PR 288</t>
  </si>
  <si>
    <t>PR 289</t>
  </si>
  <si>
    <t>PR 290</t>
  </si>
  <si>
    <t>PR 291</t>
  </si>
  <si>
    <t>PR 292</t>
  </si>
  <si>
    <t>PR 293</t>
  </si>
  <si>
    <t>PR 294</t>
  </si>
  <si>
    <t>PR 295</t>
  </si>
  <si>
    <t>PR 296</t>
  </si>
  <si>
    <t>PR 297</t>
  </si>
  <si>
    <t>PR 298</t>
  </si>
  <si>
    <t>PR 299</t>
  </si>
  <si>
    <t>PR 300</t>
  </si>
  <si>
    <t>PR 301</t>
  </si>
  <si>
    <t>PR 302</t>
  </si>
  <si>
    <t>PR 303</t>
  </si>
  <si>
    <t>PR 304</t>
  </si>
  <si>
    <t>PR 305</t>
  </si>
  <si>
    <t>PR 306</t>
  </si>
  <si>
    <t>PR 307</t>
  </si>
  <si>
    <t>PR 308</t>
  </si>
  <si>
    <t>PR 309</t>
  </si>
  <si>
    <t>PR 310</t>
  </si>
  <si>
    <t>PR 311</t>
  </si>
  <si>
    <t>PR 312</t>
  </si>
  <si>
    <t>PR 313</t>
  </si>
  <si>
    <t>PR 314</t>
  </si>
  <si>
    <t>PR 315</t>
  </si>
  <si>
    <t>PR 316</t>
  </si>
  <si>
    <t>PR 317</t>
  </si>
  <si>
    <t>PR 318</t>
  </si>
  <si>
    <t>PR 319</t>
  </si>
  <si>
    <t>PR 320</t>
  </si>
  <si>
    <t>PR 321</t>
  </si>
  <si>
    <t>PR 322</t>
  </si>
  <si>
    <t>PR 323</t>
  </si>
  <si>
    <t>PR 324</t>
  </si>
  <si>
    <t>PR 325</t>
  </si>
  <si>
    <t>PR 326</t>
  </si>
  <si>
    <t>PR 327</t>
  </si>
  <si>
    <t>PR 328</t>
  </si>
  <si>
    <t>PR 329</t>
  </si>
  <si>
    <t>PR 330</t>
  </si>
  <si>
    <t>PR 331</t>
  </si>
  <si>
    <t>PR 332</t>
  </si>
  <si>
    <t>PR 333</t>
  </si>
  <si>
    <t>PR 334</t>
  </si>
  <si>
    <t>PR 335</t>
  </si>
  <si>
    <t>PR 336</t>
  </si>
  <si>
    <t>PR 337</t>
  </si>
  <si>
    <t>PR 338</t>
  </si>
  <si>
    <t>PR 339</t>
  </si>
  <si>
    <t>PR 340</t>
  </si>
  <si>
    <t>PR 341</t>
  </si>
  <si>
    <t>PR 342</t>
  </si>
  <si>
    <t>PR 343</t>
  </si>
  <si>
    <t>PR 344</t>
  </si>
  <si>
    <t>PR 345</t>
  </si>
  <si>
    <t>PR 346</t>
  </si>
  <si>
    <t>PR 347</t>
  </si>
  <si>
    <t>PR 348</t>
  </si>
  <si>
    <t>PR 349</t>
  </si>
  <si>
    <t>PR 350</t>
  </si>
  <si>
    <t>PR 351</t>
  </si>
  <si>
    <t>PR 352</t>
  </si>
  <si>
    <t>PR 353</t>
  </si>
  <si>
    <t>PR 354</t>
  </si>
  <si>
    <t>PR 355</t>
  </si>
  <si>
    <t>PR 356</t>
  </si>
  <si>
    <t>PR 357</t>
  </si>
  <si>
    <t>PR 358</t>
  </si>
  <si>
    <t>PR 359</t>
  </si>
  <si>
    <t>PR 360</t>
  </si>
  <si>
    <t>PR 361</t>
  </si>
  <si>
    <t>PR 362</t>
  </si>
  <si>
    <t>PR 363</t>
  </si>
  <si>
    <t>PR 364</t>
  </si>
  <si>
    <t>PR 365</t>
  </si>
  <si>
    <t>PR 366</t>
  </si>
  <si>
    <t>PR 367</t>
  </si>
  <si>
    <t>PR 368</t>
  </si>
  <si>
    <t>PR 369</t>
  </si>
  <si>
    <t>PR 370</t>
  </si>
  <si>
    <t>PR 371</t>
  </si>
  <si>
    <t>PR 372</t>
  </si>
  <si>
    <t>PR 373</t>
  </si>
  <si>
    <t>PR 374</t>
  </si>
  <si>
    <t>PR 375</t>
  </si>
  <si>
    <t>PR 376</t>
  </si>
  <si>
    <t>PR 377</t>
  </si>
  <si>
    <t>PR 378</t>
  </si>
  <si>
    <t>PR 379</t>
  </si>
  <si>
    <t>PR 380</t>
  </si>
  <si>
    <t>G 01</t>
  </si>
  <si>
    <t>G 02</t>
  </si>
  <si>
    <t>G 03</t>
  </si>
  <si>
    <t>G 04</t>
  </si>
  <si>
    <t>G 05</t>
  </si>
  <si>
    <t>G 06</t>
  </si>
  <si>
    <t>G 07</t>
  </si>
  <si>
    <t>G 08</t>
  </si>
  <si>
    <t>G 09</t>
  </si>
  <si>
    <t>G 10</t>
  </si>
  <si>
    <t>G 11</t>
  </si>
  <si>
    <t>G 12</t>
  </si>
  <si>
    <t>G 13</t>
  </si>
  <si>
    <t>P 01</t>
  </si>
  <si>
    <t>P 02</t>
  </si>
  <si>
    <t>P 03</t>
  </si>
  <si>
    <t>P 04</t>
  </si>
  <si>
    <t>P 05</t>
  </si>
  <si>
    <t>P 06</t>
  </si>
  <si>
    <t>P 07</t>
  </si>
  <si>
    <t>P 08</t>
  </si>
  <si>
    <t>P 09</t>
  </si>
  <si>
    <t>P 10</t>
  </si>
  <si>
    <t>P 11</t>
  </si>
  <si>
    <t>P 12</t>
  </si>
  <si>
    <t>P 13</t>
  </si>
  <si>
    <t>P 14</t>
  </si>
  <si>
    <t>P 15</t>
  </si>
  <si>
    <t>P 16</t>
  </si>
  <si>
    <t>P 17</t>
  </si>
  <si>
    <t>P 18</t>
  </si>
  <si>
    <t>P 19</t>
  </si>
  <si>
    <t>P 20</t>
  </si>
  <si>
    <t>P 21</t>
  </si>
  <si>
    <t>P 22</t>
  </si>
  <si>
    <t>P 23</t>
  </si>
  <si>
    <t>P 24</t>
  </si>
  <si>
    <t>P 25</t>
  </si>
  <si>
    <t>P 26</t>
  </si>
  <si>
    <t>P 27</t>
  </si>
  <si>
    <t>P 28</t>
  </si>
  <si>
    <t>P 29</t>
  </si>
  <si>
    <t>P 30</t>
  </si>
  <si>
    <t>P 31</t>
  </si>
  <si>
    <t>P 32</t>
  </si>
  <si>
    <t>P 33</t>
  </si>
  <si>
    <t>P 34</t>
  </si>
  <si>
    <t>P 35</t>
  </si>
  <si>
    <t>P 36</t>
  </si>
  <si>
    <t>P 37</t>
  </si>
  <si>
    <t>P 38</t>
  </si>
  <si>
    <t>P 39</t>
  </si>
  <si>
    <t>P 40</t>
  </si>
  <si>
    <t>P 41</t>
  </si>
  <si>
    <t>P 42</t>
  </si>
  <si>
    <t>P 43</t>
  </si>
  <si>
    <t>P 44</t>
  </si>
  <si>
    <t>P 45</t>
  </si>
  <si>
    <t>P 46</t>
  </si>
  <si>
    <t>P 47</t>
  </si>
  <si>
    <t>P 48</t>
  </si>
  <si>
    <t>P 49</t>
  </si>
  <si>
    <t>P 50</t>
  </si>
  <si>
    <t>P 51</t>
  </si>
  <si>
    <t>P 52</t>
  </si>
  <si>
    <t>P 53</t>
  </si>
  <si>
    <t>P 54</t>
  </si>
  <si>
    <t>P 55</t>
  </si>
  <si>
    <t>EG 01</t>
  </si>
  <si>
    <t>EG 02</t>
  </si>
  <si>
    <t>EG 03</t>
  </si>
  <si>
    <t>EG 04</t>
  </si>
  <si>
    <t>EG 05</t>
  </si>
  <si>
    <t>EG 06</t>
  </si>
  <si>
    <t>EG 07</t>
  </si>
  <si>
    <t>EG 08</t>
  </si>
  <si>
    <t>EG 09</t>
  </si>
  <si>
    <t>EG 10</t>
  </si>
  <si>
    <t>EG 11</t>
  </si>
  <si>
    <t>EG 12</t>
  </si>
  <si>
    <t>EG 13</t>
  </si>
  <si>
    <t>EG 14</t>
  </si>
  <si>
    <t>EG 15</t>
  </si>
  <si>
    <t>EG 16</t>
  </si>
  <si>
    <t>EG 17</t>
  </si>
  <si>
    <t>EG 18</t>
  </si>
  <si>
    <t>P 56</t>
  </si>
  <si>
    <t>P 57</t>
  </si>
  <si>
    <t>P 58</t>
  </si>
  <si>
    <t xml:space="preserve">Fourniture et pose des plaques d'immatriculation   </t>
  </si>
  <si>
    <t>Références dont le prix est révisé dans le cadre de l'ajustement de prix n° 1 applicable à l'ouverture du marché</t>
  </si>
  <si>
    <t>Références dont les prix ne sont pas révisables (cf article 16.2 du CCAP)</t>
  </si>
  <si>
    <t>Réf F/seur</t>
  </si>
  <si>
    <t>Réf UGAP</t>
  </si>
  <si>
    <t>P1 - 698 XV ALU</t>
  </si>
  <si>
    <t>P2 - 900 XV ALU RESCUE</t>
  </si>
  <si>
    <t>P3 - 1050 XV ALU RESCUE</t>
  </si>
  <si>
    <t>P5 - 620 ALU</t>
  </si>
  <si>
    <t>P6 - 820 XV ALU</t>
  </si>
  <si>
    <t>P7 - 820 XV ALU RESCUE</t>
  </si>
  <si>
    <t>P8 - 820 XV ALU PATROL</t>
  </si>
  <si>
    <t>P9 - 900 XV ALU PATROL</t>
  </si>
  <si>
    <t>X</t>
  </si>
  <si>
    <t>Saisine supplémentaire à mi-hauteur du flotteur en partie extérieure  Poste 10</t>
  </si>
  <si>
    <t xml:space="preserve">Filet ''d'attaque'' de protection à mailles serrées, constitué par un cordage sur l'avant de l'embarcation  </t>
  </si>
  <si>
    <t>Renfort nez triple Pro 3 PPA   Postes 9 et 10</t>
  </si>
  <si>
    <t>Renfort nez triple Pro 3 PPA   Postes 1 à 8</t>
  </si>
  <si>
    <t>Flotteur moussé PE sans revêtement PU en remplacement de celui de base  Postes 2 et 9</t>
  </si>
  <si>
    <t>Radar Lowrance Halo 20</t>
  </si>
  <si>
    <t xml:space="preserve">Radar Simrad Halo 20 </t>
  </si>
  <si>
    <t xml:space="preserve">Radar Halo 20 Simrad en complément de l'hds PRO 16 de base   </t>
  </si>
  <si>
    <t xml:space="preserve">Radar Halo 20+ Simrad en complément de l'hds PRO 16 de base   </t>
  </si>
  <si>
    <t xml:space="preserve">Moteur hors-bord essence - Suzuki DF150ATX 150 ch - Démarrage électrique - Direction hydraulique - Arbre extra long - Hélice </t>
  </si>
  <si>
    <t>Moteur hors-bord essence - Suzuki DF150APX 150 ch - Démarrage électrique - Direction hydraulique - Arbre extra long - Hélice</t>
  </si>
  <si>
    <t>Moteur hors-bord essence - Yamaha F150XCB 150 ch - Démarrage électrique - Direction hydraulique - Arbre extra long - Hélice</t>
  </si>
  <si>
    <t xml:space="preserve">Moteur hors-bord essence - Mercury F150EFI 150 ch - Démarrage électrique - Direction hydraulique - Arbre extra long - Hélice </t>
  </si>
  <si>
    <t xml:space="preserve">Moteur hors-bord essence - Mercury 150 CMS Seapro 150 ch - Démarrage électrique - Direction hydraulique - Arbre extra long </t>
  </si>
  <si>
    <t>Moteur hors-bord essence - Yamaha F200XCB 200 ch - Démarrage électrique - Direction hydraulique - Arbre extra long - Hélice</t>
  </si>
  <si>
    <t xml:space="preserve">Moteur hors-bord essence - Suzuki DF200ATX 200 ch - Démarrage électrique - Direction hydraulique - Arbre extra long - Hélice </t>
  </si>
  <si>
    <t xml:space="preserve">Moteur hors-bord essence - Mercury 200 DTS Seapro 200 ch - Démarrage électrique - Direction hydraulique - Arbre extra long - Hélice </t>
  </si>
  <si>
    <t xml:space="preserve">Moteur hors-bord essence - Mercury 200 Fourstroke 200 ch - Démarrage électrique - Direction hydraulique - Arbre extra long - Hélice </t>
  </si>
  <si>
    <t>Moteur hors-bord essence - Suzuki DF225TX 225 ch - Démarrage électrique - Direction hydraulique - Arbre extra long - Hélice</t>
  </si>
  <si>
    <t>Moteur hors-bord essence - Mercury 225 Fourstroke 225 ch - Démarrage électrique - Direction hydraulique - Arbre extra long - Hélice</t>
  </si>
  <si>
    <t xml:space="preserve">Moteur hors-bord essence - Mercury 225 Fourstroke 225 ch - Démarrage électrique - Direction hydraulique - Arbre extra long - Hélice </t>
  </si>
  <si>
    <t>Moteur hors-bord essence - Yamaha F250NSB 250 ch - Démarrage électrique - Direction hydraulique - Arbre extra long - Hélice</t>
  </si>
  <si>
    <t>Moteur hors-bord essence - Mercury 250 DTS Seapro 250 ch - Démarrage électrique - Direction hydraulique - Arbre extra long - Hélice</t>
  </si>
  <si>
    <t>Moteur hors-bord essence - Mercury F250 Vérado 250 ch - Démarrage électrique - Direction hydraulique - Arbre extra long - Hélice</t>
  </si>
  <si>
    <t>Moteur hors-bord essence - Suzuki DF250APX 250 ch - Démarrage électrique - Direction hydraulique - Arbre extra long - Hélice</t>
  </si>
  <si>
    <t>Moteur hors-bord essence - Yamaha F300NSB 300 ch - Démarrage électrique - Direction hydraulique - Arbre extra long - Hélice</t>
  </si>
  <si>
    <t>Moteur hors-bord essence - Suzuki 300BMDX 300 ch - Démarrage électrique - Direction hydraulique - Arbre extra long - Hélice</t>
  </si>
  <si>
    <t>Moteur hors-bord essence - Mercury 300 CMS Seapro 300 ch - Démarrage électrique - Direction hydraulique - Arbre extra long - Hélice</t>
  </si>
  <si>
    <t>Moteur hors-bord essence - Mercury 300 Vérado 300 ch - Démarrage électrique - Direction hydraulique - Arbre extra long - Hélice</t>
  </si>
  <si>
    <t>Moteur hors-bord essence - Suzuki DF350AMDX 350 ch - Démarrage électrique - Direction hydraulique - Arbre extra long - Hélice</t>
  </si>
  <si>
    <t>Moteur hors-bord essence - Yamaha F350NSA 350 ch - Démarrage électrique - Direction hydraulique - Arbre extra long - Hélice</t>
  </si>
  <si>
    <t>2 Moteurs hors-bord essence - Suzuki DF100BTX 2x100 ch - Démarrage électrique - Direction hydraulique - Arbre extra long - Hélice</t>
  </si>
  <si>
    <t>2 Moteurs hors-bord essence - Yamaha F100XB 2x100 ch - Démarrage électrique - Direction hydraulique - Arbre extra long - Hélice</t>
  </si>
  <si>
    <t>2 Moteurs hors-bord essence - Suzuki DF115BTGX + DF115BZGX 2x115 ch - Démarrage électrique - Direction hydraulique - Arbre extra long - Hélice</t>
  </si>
  <si>
    <t xml:space="preserve">2 Moteurs hors-bord essence - Yamaha F115XB + LF115XB 2x115 ch - Démarrage électrique - Direction hydraulique - Arbre extra long - Hélice </t>
  </si>
  <si>
    <t>2 Moteurs hors-bord essence - Mercury F115 EXLPT + F115 EXCLPT 2x115 ch - Démarrage électrique - Direction hydraulique - Arbre extra long - Hélice</t>
  </si>
  <si>
    <t>2 Moteurs hors-bord essence - Suzuki DF150APX 2x150 ch - Démarrage électrique - Direction hydraulique - Arbre extra long - Hélice</t>
  </si>
  <si>
    <t>2 Moteurs hors-bord essence - Yamaha F150XCB+LF150XCB 2x150 ch - Démarrage électrique - Direction hydraulique - Arbre extra long - Hélice</t>
  </si>
  <si>
    <t>2 Moteurs hors-bord essence - Mercury F150 EFI 2x150 ch - Démarrage électrique - Direction hydraulique - Arbre extra long - Hélice</t>
  </si>
  <si>
    <t>2 Moteurs hors-bord essence - Mercury F150 CMS Seapro 2x150 ch - Démarrage électrique - Direction hydraulique - Arbre extra long - Hélice</t>
  </si>
  <si>
    <t>2 Moteurs hors-bord essence - Suzuki DF200APX 2x200 ch - Démarrage électrique - Direction hydraulique - Arbre extra long - Hélice</t>
  </si>
  <si>
    <t xml:space="preserve">2 Moteurs hors-bord essence - Suzuki DF200APX 2x200 ch - Démarrage électrique - Direction hydraulique - Arbre extra long - Hélice </t>
  </si>
  <si>
    <t>2 Moteurs hors-bord Diesel - Oxe 200 2x200 ch - Démarrage électrique - Direction hydraulique - Arbre extra long - Hélice</t>
  </si>
  <si>
    <t>2 Moteurs hors-bord essence - Suzuki DF225TX 2x225 ch - Démarrage électrique - Direction hydraulique - Arbre extra long - Hélice</t>
  </si>
  <si>
    <t>2 Moteurs hors-bord essence - Mercury 225 Fourstroke 225 ch - Démarrage électrique - Direction hydraulique - Arbre extra long - Hélice</t>
  </si>
  <si>
    <t xml:space="preserve">2 Moteurs hors-bord essence - Yamaha F250NCB 250 ch - Démarrage électrique - Direction hydraulique - Arbre extra long - Hélice </t>
  </si>
  <si>
    <t>2 Moteurs hors-bord essence - Mercury F250 DTS Seapro 250 ch - Démarrage électrique - Direction hydraulique - Arbre extra long - Hélice</t>
  </si>
  <si>
    <t>2 Moteurs hors-bord essence - Mercury F250 Vérado 250 ch - Démarrage électrique - Direction hydraulique - Arbre extra long - Hélice</t>
  </si>
  <si>
    <t xml:space="preserve">2 Moteurs hors-bord essence - Yamaha F250NSB 250 ch - Démarrage électrique - Direction hydraulique - Arbre extra long - Hélice </t>
  </si>
  <si>
    <t xml:space="preserve">2 Moteurs hors-bord essence - Suzuki DF300APX 300 ch - Démarrage électrique - Direction hydraulique - Arbre extra long - Hélice </t>
  </si>
  <si>
    <t>2 Moteurs hors-bord essence - Yamaha F300NSB 300 ch - Démarrage électrique - Direction hydraulique - Arbre extra long - Hélice</t>
  </si>
  <si>
    <t>2 Moteurs hors-bord essence - Suzuki DF300BMDX 300 ch - Démarrage électrique - Direction hydraulique - Arbre extra long - Hélice</t>
  </si>
  <si>
    <t>2 Moteurs hors-bord essence - Mercury F300 Vérado 300 ch - Démarrage électrique - Direction hydraulique - Arbre extra long - Hélice</t>
  </si>
  <si>
    <t>2 Moteurs hors-bord essence - Mercury F300 CMS Seapro 300 ch - Démarrage électrique - Direction hydraulique - Arbre extra long - Hélice</t>
  </si>
  <si>
    <t>2 Moteurs hors-bord essence - Suzuki DF325ATX 325 ch - Démarrage électrique - Direction hydraulique - Arbre extra long - Hélice</t>
  </si>
  <si>
    <t>2 Moteurs hors-bord essence - Suzuki DF350AMDX 350 ch - Démarrage électrique - Direction hydraulique - Arbre extra long - Hélice</t>
  </si>
  <si>
    <t>2 Moteurs hors-bord essence - Yamaha F350NSA 350 ch - Démarrage électrique - Direction hydraulique - Arbre extra long - Hélice</t>
  </si>
  <si>
    <t>2 Moteurs hors-bord essence - Mercury F350 V10 Seapro 350 ch - Démarrage électrique - Direction hydraulique - Arbre extra long - Hélice</t>
  </si>
  <si>
    <t>2 Moteurs hors-bord essence - Mercury F350 V10 Vérado 350 ch - Démarrage électrique - Direction hydraulique - Arbre extra long - Hélice</t>
  </si>
  <si>
    <t>2 Moteurs hors-bord essence - Mercury F400 V10 Seapro 400 ch - Démarrage électrique - Direction hydraulique - Arbre extra long - Hélice</t>
  </si>
  <si>
    <t>2 Moteurs hors-bord essence - Yamaha XF400NSA 400 ch - Démarrage électrique - Direction hydraulique - Arbre extra long - Hélice</t>
  </si>
  <si>
    <t>Moteur hors-bord essence - Suzuki DF175APX 175 ch - Démarrage électrique - Direction hydraulique - Arbre extra long - Hélice</t>
  </si>
  <si>
    <t>Moteur hors-bord essence - Suzuki DF175ATX 175 ch - Démarrage électrique - Direction hydraulique - Arbre extra long - Hélice</t>
  </si>
  <si>
    <t>Moteur hors-bord essence - Mercury 175 Fourstroke 175 ch - Démarrage électrique - Direction hydraulique - Arbre extra long - Hélice</t>
  </si>
  <si>
    <t>2 Moteurs hors-bord essence - Yamaha F250NCB 250 ch - Démarrage électrique - Direction hydraulique - Arbre extra long - Hélice</t>
  </si>
  <si>
    <t>2 Moteurs hors-bord essence - Yamaha F250NSB 250 ch - Démarrage électrique - Direction hydraulique - Arbre extra long - Hélice</t>
  </si>
  <si>
    <t>2 Moteurs hors-bord essence - Suzuki DF300APX 300 ch - Démarrage électrique - Direction hydraulique - Arbre extra long - Hélice</t>
  </si>
  <si>
    <t xml:space="preserve">2 Moteurs hors-bord essence - Suzuki DF300BMDX 300 ch - Démarrage électrique - Direction hydraulique - Arbre extra long - Hélice </t>
  </si>
  <si>
    <t xml:space="preserve">2 Moteurs hors-bord essence - Mercury F350 V10 Seapro 350 ch - Démarrage électrique - Direction hydraulique - Arbre extra long - Hélice </t>
  </si>
  <si>
    <t xml:space="preserve">2 Moteurs hors-bord essence - Mercury F350 V10 Vérado 350 ch - Démarrage électrique - Direction hydraulique - Arbre extra long - Hélice </t>
  </si>
  <si>
    <t>2 Moteurs hors-bord Diesel - Oxe 300 2x300 ch - Démarrage électrique - Direction hydraulique - Arbre extra long - Hélice</t>
  </si>
  <si>
    <t>Moteur hors-bord Diesel - Oxe 300 300 ch - Démarrage électrique - Direction hydraulique - Arbre extra long - Hélice</t>
  </si>
  <si>
    <t>Moteur hors-bord essence - Yamaha F150XC 150 ch - Démarrage électrique - Direction hydraulique - Arbre extra long - Hélice</t>
  </si>
  <si>
    <t>Moteur hors-bord essence - Mercury F150EFI 150 ch - Démarrage électrique - Direction hydraulique - Arbre extra long - Hélice</t>
  </si>
  <si>
    <t>Moteur hors-bord essence - Mercury 150 CMS Seapro 150 ch - Démarrage électrique - Direction hydraulique - Arbre extra long - Hélice</t>
  </si>
  <si>
    <t>Moteur hors-bord essence - Suzuki DF300APX 300 ch - Démarrage électrique - Direction hydraulique - Arbre extra long - Hélice</t>
  </si>
  <si>
    <t>Prix d'achat HT
UGAP</t>
  </si>
  <si>
    <t>Prix d'achat HT
CLIENT</t>
  </si>
  <si>
    <t>P10 - 1050 XV ALU PATROL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</si>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</sst>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8"/>
      <color theme="1"/>
      <name val="Tahoma"/>
      <family val="2"/>
    </font>
    <font>
      <sz val="8"/>
      <color theme="1" tint="0.499984740745262"/>
      <name val="Bahnschrift"/>
      <family val="2"/>
    </font>
    <font>
      <sz val="8"/>
      <color theme="8" tint="-0.249977111117893"/>
      <name val="Bahnschrift"/>
      <family val="2"/>
    </font>
    <font>
      <sz val="10"/>
      <color theme="1" tint="0.249977111117893"/>
      <name val="Bahnschrift Light Condensed"/>
      <family val="2"/>
    </font>
    <font>
      <sz val="9"/>
      <color theme="4" tint="-0.249977111117893"/>
      <name val="Bahnschrift SemiBold"/>
      <family val="2"/>
    </font>
    <font>
      <sz val="8"/>
      <color rgb="FF575555"/>
      <name val="Bahnschrift"/>
      <family val="2"/>
    </font>
    <font>
      <sz val="9"/>
      <color theme="4" tint="-0.249977111117893"/>
      <name val="Bahnschrift"/>
      <family val="2"/>
    </font>
    <font>
      <b/>
      <sz val="12"/>
      <color theme="1"/>
      <name val="Tahoma"/>
      <family val="2"/>
    </font>
    <font>
      <b/>
      <sz val="12"/>
      <name val="Bahnschrift"/>
      <family val="2"/>
    </font>
    <font>
      <b/>
      <sz val="9"/>
      <color theme="4" tint="-0.249977111117893"/>
      <name val="Bahnschrift SemiBold"/>
      <family val="2"/>
    </font>
    <font>
      <b/>
      <sz val="8"/>
      <color theme="1"/>
      <name val="Tahoma"/>
      <family val="2"/>
    </font>
    <font>
      <b/>
      <sz val="8"/>
      <color theme="8" tint="-0.249977111117893"/>
      <name val="Bahnschrift"/>
      <family val="2"/>
    </font>
    <font>
      <sz val="8"/>
      <name val="Tahoma"/>
      <family val="2"/>
    </font>
    <font>
      <b/>
      <sz val="8"/>
      <color theme="4" tint="-0.249977111117893"/>
      <name val="Bahnschrift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right" vertical="center" indent="1"/>
    </xf>
    <xf numFmtId="0" fontId="1" fillId="4" borderId="0" xfId="0" applyFont="1" applyFill="1" applyAlignment="1">
      <alignment horizontal="left" vertical="center"/>
    </xf>
    <xf numFmtId="0" fontId="0" fillId="4" borderId="5" xfId="0" applyFill="1" applyBorder="1"/>
    <xf numFmtId="0" fontId="1" fillId="4" borderId="6" xfId="0" applyFont="1" applyFill="1" applyBorder="1" applyAlignment="1">
      <alignment horizontal="right" vertical="center" indent="1"/>
    </xf>
    <xf numFmtId="0" fontId="0" fillId="4" borderId="6" xfId="0" applyFill="1" applyBorder="1"/>
    <xf numFmtId="0" fontId="0" fillId="4" borderId="6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0" fillId="4" borderId="7" xfId="0" applyFill="1" applyBorder="1"/>
    <xf numFmtId="0" fontId="0" fillId="4" borderId="8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1" fillId="4" borderId="11" xfId="0" applyFont="1" applyFill="1" applyBorder="1" applyAlignment="1">
      <alignment horizontal="right" vertical="center" indent="1"/>
    </xf>
    <xf numFmtId="0" fontId="0" fillId="4" borderId="11" xfId="0" applyFill="1" applyBorder="1"/>
    <xf numFmtId="0" fontId="0" fillId="4" borderId="11" xfId="0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/>
    </xf>
    <xf numFmtId="0" fontId="0" fillId="4" borderId="12" xfId="0" applyFill="1" applyBorder="1"/>
    <xf numFmtId="0" fontId="9" fillId="3" borderId="18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3" borderId="1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3" borderId="1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right" vertical="center"/>
    </xf>
    <xf numFmtId="0" fontId="13" fillId="3" borderId="19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161925</xdr:rowOff>
    </xdr:from>
    <xdr:to>
      <xdr:col>4</xdr:col>
      <xdr:colOff>398607</xdr:colOff>
      <xdr:row>5</xdr:row>
      <xdr:rowOff>54610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B44A83F-BCD6-4154-857C-44669871D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61925"/>
          <a:ext cx="711200" cy="74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B16D-337D-44FA-8A76-BF930C793BBB}">
  <sheetPr codeName="Feuil16">
    <pageSetUpPr fitToPage="1"/>
  </sheetPr>
  <dimension ref="A1:S901"/>
  <sheetViews>
    <sheetView showGridLines="0" tabSelected="1" topLeftCell="A12" zoomScale="110" zoomScaleNormal="110" workbookViewId="0">
      <pane ySplit="3" topLeftCell="A107" activePane="bottomLeft" state="frozen"/>
      <selection activeCell="A12" sqref="A12"/>
      <selection pane="bottomLeft" activeCell="A125" sqref="A125:XFD125"/>
    </sheetView>
  </sheetViews>
  <sheetFormatPr baseColWidth="10" defaultColWidth="12" defaultRowHeight="10.5" x14ac:dyDescent="0.15"/>
  <cols>
    <col min="1" max="1" width="1.83203125" customWidth="1"/>
    <col min="2" max="2" width="9.6640625" bestFit="1" customWidth="1"/>
    <col min="3" max="3" width="6.83203125" hidden="1" customWidth="1"/>
    <col min="4" max="4" width="17.5" hidden="1" customWidth="1"/>
    <col min="5" max="5" width="20.83203125" style="8" bestFit="1" customWidth="1"/>
    <col min="6" max="13" width="4.33203125" style="8" bestFit="1" customWidth="1"/>
    <col min="14" max="14" width="4" style="8" customWidth="1"/>
    <col min="15" max="15" width="122.83203125" customWidth="1"/>
    <col min="16" max="16" width="13.6640625" bestFit="1" customWidth="1"/>
    <col min="17" max="17" width="13.6640625" customWidth="1"/>
    <col min="18" max="19" width="8.1640625" bestFit="1" customWidth="1"/>
  </cols>
  <sheetData>
    <row r="1" spans="1:19" ht="14.1" customHeight="1" x14ac:dyDescent="0.15">
      <c r="A1" s="12"/>
      <c r="B1" s="13"/>
      <c r="C1" s="13"/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14"/>
      <c r="Q1" s="14"/>
      <c r="R1" s="14"/>
      <c r="S1" s="17"/>
    </row>
    <row r="2" spans="1:19" ht="14.1" customHeight="1" x14ac:dyDescent="0.15">
      <c r="A2" s="18"/>
      <c r="B2" s="10"/>
      <c r="C2" s="10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11"/>
      <c r="P2" s="19"/>
      <c r="Q2" s="19"/>
      <c r="R2" s="19"/>
      <c r="S2" s="21"/>
    </row>
    <row r="3" spans="1:19" ht="14.1" customHeight="1" x14ac:dyDescent="0.15">
      <c r="A3" s="18"/>
      <c r="B3" s="10"/>
      <c r="C3" s="10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11"/>
      <c r="P3" s="19"/>
      <c r="Q3" s="19"/>
      <c r="R3" s="19"/>
      <c r="S3" s="21"/>
    </row>
    <row r="4" spans="1:19" ht="14.1" customHeight="1" x14ac:dyDescent="0.15">
      <c r="A4" s="18"/>
      <c r="B4" s="10"/>
      <c r="C4" s="10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11"/>
      <c r="P4" s="19"/>
      <c r="Q4" s="19"/>
      <c r="R4" s="19"/>
      <c r="S4" s="21"/>
    </row>
    <row r="5" spans="1:19" ht="14.1" customHeight="1" x14ac:dyDescent="0.15">
      <c r="A5" s="18"/>
      <c r="B5" s="10"/>
      <c r="C5" s="10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11"/>
      <c r="P5" s="19"/>
      <c r="Q5" s="19"/>
      <c r="R5" s="19"/>
      <c r="S5" s="21"/>
    </row>
    <row r="6" spans="1:19" ht="14.1" customHeight="1" x14ac:dyDescent="0.15">
      <c r="A6" s="18"/>
      <c r="B6" s="10"/>
      <c r="C6" s="10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  <c r="O6" s="11"/>
      <c r="P6" s="19"/>
      <c r="Q6" s="19"/>
      <c r="R6" s="19"/>
      <c r="S6" s="21"/>
    </row>
    <row r="7" spans="1:19" ht="69" customHeight="1" x14ac:dyDescent="0.15">
      <c r="A7" s="18"/>
      <c r="B7" s="49" t="s">
        <v>1045</v>
      </c>
      <c r="C7" s="50"/>
      <c r="D7" s="51" t="s">
        <v>1046</v>
      </c>
      <c r="E7" s="52"/>
      <c r="F7" s="41"/>
      <c r="G7" s="41"/>
      <c r="H7" s="41"/>
      <c r="I7" s="41"/>
      <c r="J7" s="41"/>
      <c r="K7" s="41"/>
      <c r="L7" s="41"/>
      <c r="M7" s="41"/>
      <c r="N7" s="41"/>
      <c r="O7" s="53" t="s">
        <v>1093</v>
      </c>
      <c r="P7" s="54"/>
      <c r="Q7" s="54"/>
      <c r="R7" s="54"/>
      <c r="S7" s="50"/>
    </row>
    <row r="8" spans="1:19" ht="14.1" customHeight="1" x14ac:dyDescent="0.15">
      <c r="A8" s="22"/>
      <c r="B8" s="23"/>
      <c r="C8" s="23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24"/>
      <c r="Q8" s="24"/>
      <c r="R8" s="24"/>
      <c r="S8" s="27"/>
    </row>
    <row r="9" spans="1:19" ht="15.75" customHeight="1" x14ac:dyDescent="0.15">
      <c r="O9" s="2"/>
    </row>
    <row r="10" spans="1:19" ht="15.75" customHeight="1" x14ac:dyDescent="0.15">
      <c r="B10" s="30"/>
      <c r="C10" s="38" t="s">
        <v>1679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</row>
    <row r="11" spans="1:19" ht="15.75" customHeight="1" x14ac:dyDescent="0.15">
      <c r="B11" s="31"/>
      <c r="C11" s="60" t="s">
        <v>1680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</row>
    <row r="12" spans="1:19" ht="15.75" customHeight="1" x14ac:dyDescent="0.15">
      <c r="O12" s="2"/>
    </row>
    <row r="13" spans="1:19" ht="7.5" customHeight="1" x14ac:dyDescent="0.15"/>
    <row r="14" spans="1:19" s="1" customFormat="1" ht="89.25" x14ac:dyDescent="0.15">
      <c r="B14" s="9" t="s">
        <v>1682</v>
      </c>
      <c r="C14" s="9" t="s">
        <v>0</v>
      </c>
      <c r="D14" s="9" t="s">
        <v>1094</v>
      </c>
      <c r="E14" s="9" t="s">
        <v>1681</v>
      </c>
      <c r="F14" s="43" t="s">
        <v>1683</v>
      </c>
      <c r="G14" s="43" t="s">
        <v>1684</v>
      </c>
      <c r="H14" s="43" t="s">
        <v>1685</v>
      </c>
      <c r="I14" s="43" t="s">
        <v>1686</v>
      </c>
      <c r="J14" s="43" t="s">
        <v>1687</v>
      </c>
      <c r="K14" s="43" t="s">
        <v>1688</v>
      </c>
      <c r="L14" s="43" t="s">
        <v>1689</v>
      </c>
      <c r="M14" s="43" t="s">
        <v>1690</v>
      </c>
      <c r="N14" s="43" t="s">
        <v>1770</v>
      </c>
      <c r="O14" s="9" t="s">
        <v>1044</v>
      </c>
      <c r="P14" s="44" t="s">
        <v>1768</v>
      </c>
      <c r="Q14" s="46" t="s">
        <v>1769</v>
      </c>
      <c r="R14" s="9" t="s">
        <v>1</v>
      </c>
      <c r="S14" s="9" t="s">
        <v>2</v>
      </c>
    </row>
    <row r="15" spans="1:19" ht="11.25" x14ac:dyDescent="0.15">
      <c r="B15" s="3">
        <v>4218568</v>
      </c>
      <c r="C15" s="4">
        <v>4</v>
      </c>
      <c r="D15" s="6" t="s">
        <v>1095</v>
      </c>
      <c r="E15" s="7"/>
      <c r="F15" s="7" t="s">
        <v>1691</v>
      </c>
      <c r="G15" s="7"/>
      <c r="H15" s="7"/>
      <c r="I15" s="7"/>
      <c r="J15" s="7"/>
      <c r="K15" s="7"/>
      <c r="L15" s="7"/>
      <c r="M15" s="7"/>
      <c r="N15" s="7"/>
      <c r="O15" s="5" t="s">
        <v>3</v>
      </c>
      <c r="P15" s="45">
        <v>116921.24</v>
      </c>
      <c r="Q15" s="47">
        <f>P15*1.0638298</f>
        <v>124384.29936495199</v>
      </c>
      <c r="R15" s="4">
        <v>180</v>
      </c>
      <c r="S15" s="4">
        <v>12</v>
      </c>
    </row>
    <row r="16" spans="1:19" ht="11.25" x14ac:dyDescent="0.15">
      <c r="B16" s="3">
        <v>4218569</v>
      </c>
      <c r="C16" s="4">
        <v>5</v>
      </c>
      <c r="D16" s="6" t="s">
        <v>1096</v>
      </c>
      <c r="E16" s="7"/>
      <c r="F16" s="7"/>
      <c r="G16" s="7" t="s">
        <v>1691</v>
      </c>
      <c r="H16" s="7"/>
      <c r="I16" s="7"/>
      <c r="J16" s="7"/>
      <c r="K16" s="7"/>
      <c r="L16" s="7"/>
      <c r="M16" s="7"/>
      <c r="N16" s="7"/>
      <c r="O16" s="5" t="s">
        <v>4</v>
      </c>
      <c r="P16" s="45">
        <v>240548.49</v>
      </c>
      <c r="Q16" s="47">
        <f t="shared" ref="Q16:Q79" si="0">P16*1.0638298</f>
        <v>255902.65200700198</v>
      </c>
      <c r="R16" s="4">
        <v>180</v>
      </c>
      <c r="S16" s="4">
        <v>12</v>
      </c>
    </row>
    <row r="17" spans="2:19" ht="11.25" x14ac:dyDescent="0.15">
      <c r="B17" s="3">
        <v>4218570</v>
      </c>
      <c r="C17" s="4">
        <v>6</v>
      </c>
      <c r="D17" s="6" t="s">
        <v>1097</v>
      </c>
      <c r="E17" s="7"/>
      <c r="F17" s="7"/>
      <c r="G17" s="7"/>
      <c r="H17" s="7" t="s">
        <v>1691</v>
      </c>
      <c r="I17" s="7"/>
      <c r="J17" s="7"/>
      <c r="K17" s="7"/>
      <c r="L17" s="7"/>
      <c r="M17" s="7"/>
      <c r="N17" s="7"/>
      <c r="O17" s="5" t="s">
        <v>5</v>
      </c>
      <c r="P17" s="45">
        <v>279482.40999999997</v>
      </c>
      <c r="Q17" s="47">
        <f t="shared" si="0"/>
        <v>297321.71633381798</v>
      </c>
      <c r="R17" s="4">
        <v>180</v>
      </c>
      <c r="S17" s="4">
        <v>12</v>
      </c>
    </row>
    <row r="18" spans="2:19" ht="11.25" x14ac:dyDescent="0.15">
      <c r="B18" s="3">
        <v>4218571</v>
      </c>
      <c r="C18" s="4">
        <v>7</v>
      </c>
      <c r="D18" s="6" t="s">
        <v>1098</v>
      </c>
      <c r="E18" s="7"/>
      <c r="F18" s="7"/>
      <c r="G18" s="7"/>
      <c r="H18" s="7"/>
      <c r="I18" s="7" t="s">
        <v>1691</v>
      </c>
      <c r="J18" s="7"/>
      <c r="K18" s="7"/>
      <c r="L18" s="7"/>
      <c r="M18" s="7"/>
      <c r="N18" s="7"/>
      <c r="O18" s="5" t="s">
        <v>6</v>
      </c>
      <c r="P18" s="45">
        <v>105812.2</v>
      </c>
      <c r="Q18" s="47">
        <f t="shared" si="0"/>
        <v>112566.17156355998</v>
      </c>
      <c r="R18" s="4">
        <v>180</v>
      </c>
      <c r="S18" s="4">
        <v>12</v>
      </c>
    </row>
    <row r="19" spans="2:19" ht="11.25" x14ac:dyDescent="0.15">
      <c r="B19" s="3">
        <v>4218572</v>
      </c>
      <c r="C19" s="4">
        <v>8</v>
      </c>
      <c r="D19" s="6" t="s">
        <v>1099</v>
      </c>
      <c r="E19" s="7"/>
      <c r="F19" s="7"/>
      <c r="G19" s="7"/>
      <c r="H19" s="7"/>
      <c r="I19" s="7"/>
      <c r="J19" s="7" t="s">
        <v>1691</v>
      </c>
      <c r="K19" s="7"/>
      <c r="L19" s="7"/>
      <c r="M19" s="7"/>
      <c r="N19" s="7"/>
      <c r="O19" s="5" t="s">
        <v>7</v>
      </c>
      <c r="P19" s="45">
        <v>161702.93</v>
      </c>
      <c r="Q19" s="47">
        <f t="shared" si="0"/>
        <v>172024.395681314</v>
      </c>
      <c r="R19" s="4">
        <v>180</v>
      </c>
      <c r="S19" s="4">
        <v>12</v>
      </c>
    </row>
    <row r="20" spans="2:19" ht="11.25" x14ac:dyDescent="0.15">
      <c r="B20" s="3">
        <v>4218573</v>
      </c>
      <c r="C20" s="4">
        <v>9</v>
      </c>
      <c r="D20" s="6" t="s">
        <v>1100</v>
      </c>
      <c r="E20" s="7"/>
      <c r="F20" s="7"/>
      <c r="G20" s="7"/>
      <c r="H20" s="7"/>
      <c r="I20" s="7"/>
      <c r="J20" s="7"/>
      <c r="K20" s="7" t="s">
        <v>1691</v>
      </c>
      <c r="L20" s="7"/>
      <c r="M20" s="7"/>
      <c r="N20" s="7"/>
      <c r="O20" s="5" t="s">
        <v>8</v>
      </c>
      <c r="P20" s="45">
        <v>174702.69</v>
      </c>
      <c r="Q20" s="47">
        <f t="shared" si="0"/>
        <v>185853.927762162</v>
      </c>
      <c r="R20" s="4">
        <v>180</v>
      </c>
      <c r="S20" s="4">
        <v>12</v>
      </c>
    </row>
    <row r="21" spans="2:19" ht="11.25" x14ac:dyDescent="0.15">
      <c r="B21" s="3">
        <v>4218574</v>
      </c>
      <c r="C21" s="4">
        <v>10</v>
      </c>
      <c r="D21" s="6" t="s">
        <v>1101</v>
      </c>
      <c r="E21" s="7"/>
      <c r="F21" s="7"/>
      <c r="G21" s="7"/>
      <c r="H21" s="7"/>
      <c r="I21" s="7"/>
      <c r="J21" s="7"/>
      <c r="K21" s="7"/>
      <c r="L21" s="7" t="s">
        <v>1691</v>
      </c>
      <c r="M21" s="7"/>
      <c r="N21" s="7"/>
      <c r="O21" s="5" t="s">
        <v>9</v>
      </c>
      <c r="P21" s="45">
        <v>189042.94</v>
      </c>
      <c r="Q21" s="47">
        <f t="shared" si="0"/>
        <v>201109.51305161198</v>
      </c>
      <c r="R21" s="4">
        <v>180</v>
      </c>
      <c r="S21" s="4">
        <v>12</v>
      </c>
    </row>
    <row r="22" spans="2:19" ht="11.25" x14ac:dyDescent="0.15">
      <c r="B22" s="3">
        <v>4218575</v>
      </c>
      <c r="C22" s="4">
        <v>11</v>
      </c>
      <c r="D22" s="6" t="s">
        <v>1102</v>
      </c>
      <c r="E22" s="7"/>
      <c r="F22" s="7"/>
      <c r="G22" s="7"/>
      <c r="H22" s="7"/>
      <c r="I22" s="7"/>
      <c r="J22" s="7"/>
      <c r="K22" s="7"/>
      <c r="L22" s="7"/>
      <c r="M22" s="7" t="s">
        <v>1691</v>
      </c>
      <c r="N22" s="7"/>
      <c r="O22" s="5" t="s">
        <v>10</v>
      </c>
      <c r="P22" s="45">
        <v>252428.29</v>
      </c>
      <c r="Q22" s="47">
        <f t="shared" si="0"/>
        <v>268540.73726504197</v>
      </c>
      <c r="R22" s="4">
        <v>180</v>
      </c>
      <c r="S22" s="4">
        <v>12</v>
      </c>
    </row>
    <row r="23" spans="2:19" ht="11.25" x14ac:dyDescent="0.15">
      <c r="B23" s="3">
        <v>4218576</v>
      </c>
      <c r="C23" s="4">
        <v>12</v>
      </c>
      <c r="D23" s="6" t="s">
        <v>1103</v>
      </c>
      <c r="E23" s="7"/>
      <c r="F23" s="7"/>
      <c r="G23" s="7"/>
      <c r="H23" s="7"/>
      <c r="I23" s="7"/>
      <c r="J23" s="7"/>
      <c r="K23" s="7"/>
      <c r="L23" s="7"/>
      <c r="M23" s="7"/>
      <c r="N23" s="7" t="s">
        <v>1691</v>
      </c>
      <c r="O23" s="5" t="s">
        <v>11</v>
      </c>
      <c r="P23" s="45">
        <v>293014.71000000002</v>
      </c>
      <c r="Q23" s="47">
        <f t="shared" si="0"/>
        <v>311717.780336358</v>
      </c>
      <c r="R23" s="4">
        <v>180</v>
      </c>
      <c r="S23" s="4">
        <v>12</v>
      </c>
    </row>
    <row r="24" spans="2:19" ht="11.25" x14ac:dyDescent="0.15">
      <c r="B24" s="3">
        <v>4218577</v>
      </c>
      <c r="C24" s="4">
        <v>13</v>
      </c>
      <c r="D24" s="6">
        <v>9</v>
      </c>
      <c r="E24" s="7"/>
      <c r="F24" s="7" t="s">
        <v>1691</v>
      </c>
      <c r="G24" s="7" t="s">
        <v>1691</v>
      </c>
      <c r="H24" s="7" t="s">
        <v>1691</v>
      </c>
      <c r="I24" s="7" t="s">
        <v>1691</v>
      </c>
      <c r="J24" s="7" t="s">
        <v>1691</v>
      </c>
      <c r="K24" s="7" t="s">
        <v>1691</v>
      </c>
      <c r="L24" s="7" t="s">
        <v>1691</v>
      </c>
      <c r="M24" s="7" t="s">
        <v>1691</v>
      </c>
      <c r="N24" s="7" t="s">
        <v>1691</v>
      </c>
      <c r="O24" s="5" t="s">
        <v>12</v>
      </c>
      <c r="P24" s="45">
        <v>0</v>
      </c>
      <c r="Q24" s="47">
        <f t="shared" si="0"/>
        <v>0</v>
      </c>
      <c r="R24" s="4">
        <v>180</v>
      </c>
      <c r="S24" s="4">
        <v>12</v>
      </c>
    </row>
    <row r="25" spans="2:19" ht="11.25" x14ac:dyDescent="0.15">
      <c r="B25" s="3">
        <v>4218578</v>
      </c>
      <c r="C25" s="4">
        <v>14</v>
      </c>
      <c r="D25" s="6">
        <v>13</v>
      </c>
      <c r="E25" s="7"/>
      <c r="F25" s="7" t="s">
        <v>1691</v>
      </c>
      <c r="G25" s="7" t="s">
        <v>1691</v>
      </c>
      <c r="H25" s="7" t="s">
        <v>1691</v>
      </c>
      <c r="I25" s="7" t="s">
        <v>1691</v>
      </c>
      <c r="J25" s="7" t="s">
        <v>1691</v>
      </c>
      <c r="K25" s="7" t="s">
        <v>1691</v>
      </c>
      <c r="L25" s="7" t="s">
        <v>1691</v>
      </c>
      <c r="M25" s="7" t="s">
        <v>1691</v>
      </c>
      <c r="N25" s="7" t="s">
        <v>1691</v>
      </c>
      <c r="O25" s="5" t="s">
        <v>13</v>
      </c>
      <c r="P25" s="45">
        <v>0</v>
      </c>
      <c r="Q25" s="47">
        <f t="shared" si="0"/>
        <v>0</v>
      </c>
      <c r="R25" s="4">
        <v>180</v>
      </c>
      <c r="S25" s="4">
        <v>12</v>
      </c>
    </row>
    <row r="26" spans="2:19" ht="11.25" x14ac:dyDescent="0.15">
      <c r="B26" s="3">
        <v>4218579</v>
      </c>
      <c r="C26" s="4">
        <v>15</v>
      </c>
      <c r="D26" s="6">
        <v>17</v>
      </c>
      <c r="E26" s="7"/>
      <c r="F26" s="7" t="s">
        <v>1691</v>
      </c>
      <c r="G26" s="7" t="s">
        <v>1691</v>
      </c>
      <c r="H26" s="7" t="s">
        <v>1691</v>
      </c>
      <c r="I26" s="7" t="s">
        <v>1691</v>
      </c>
      <c r="J26" s="7" t="s">
        <v>1691</v>
      </c>
      <c r="K26" s="7" t="s">
        <v>1691</v>
      </c>
      <c r="L26" s="7" t="s">
        <v>1691</v>
      </c>
      <c r="M26" s="7" t="s">
        <v>1691</v>
      </c>
      <c r="N26" s="7" t="s">
        <v>1691</v>
      </c>
      <c r="O26" s="5" t="s">
        <v>14</v>
      </c>
      <c r="P26" s="45">
        <v>0</v>
      </c>
      <c r="Q26" s="47">
        <f t="shared" si="0"/>
        <v>0</v>
      </c>
      <c r="R26" s="4">
        <v>180</v>
      </c>
      <c r="S26" s="4">
        <v>12</v>
      </c>
    </row>
    <row r="27" spans="2:19" ht="11.25" x14ac:dyDescent="0.15">
      <c r="B27" s="3">
        <v>4218580</v>
      </c>
      <c r="C27" s="4">
        <v>16</v>
      </c>
      <c r="D27" s="6">
        <v>21</v>
      </c>
      <c r="E27" s="7"/>
      <c r="F27" s="7" t="s">
        <v>1691</v>
      </c>
      <c r="G27" s="7" t="s">
        <v>1691</v>
      </c>
      <c r="H27" s="7" t="s">
        <v>1691</v>
      </c>
      <c r="I27" s="7" t="s">
        <v>1691</v>
      </c>
      <c r="J27" s="7" t="s">
        <v>1691</v>
      </c>
      <c r="K27" s="7" t="s">
        <v>1691</v>
      </c>
      <c r="L27" s="7" t="s">
        <v>1691</v>
      </c>
      <c r="M27" s="7" t="s">
        <v>1691</v>
      </c>
      <c r="N27" s="7" t="s">
        <v>1691</v>
      </c>
      <c r="O27" s="5" t="s">
        <v>15</v>
      </c>
      <c r="P27" s="45">
        <v>0</v>
      </c>
      <c r="Q27" s="47">
        <f t="shared" si="0"/>
        <v>0</v>
      </c>
      <c r="R27" s="4">
        <v>180</v>
      </c>
      <c r="S27" s="4">
        <v>12</v>
      </c>
    </row>
    <row r="28" spans="2:19" ht="11.25" x14ac:dyDescent="0.15">
      <c r="B28" s="3">
        <v>4218581</v>
      </c>
      <c r="C28" s="4">
        <v>17</v>
      </c>
      <c r="D28" s="6">
        <v>25</v>
      </c>
      <c r="E28" s="7"/>
      <c r="F28" s="7" t="s">
        <v>1691</v>
      </c>
      <c r="G28" s="7" t="s">
        <v>1691</v>
      </c>
      <c r="H28" s="7" t="s">
        <v>1691</v>
      </c>
      <c r="I28" s="7" t="s">
        <v>1691</v>
      </c>
      <c r="J28" s="7" t="s">
        <v>1691</v>
      </c>
      <c r="K28" s="7" t="s">
        <v>1691</v>
      </c>
      <c r="L28" s="7" t="s">
        <v>1691</v>
      </c>
      <c r="M28" s="7" t="s">
        <v>1691</v>
      </c>
      <c r="N28" s="7" t="s">
        <v>1691</v>
      </c>
      <c r="O28" s="5" t="s">
        <v>16</v>
      </c>
      <c r="P28" s="45">
        <v>0</v>
      </c>
      <c r="Q28" s="47">
        <f t="shared" si="0"/>
        <v>0</v>
      </c>
      <c r="R28" s="4">
        <v>180</v>
      </c>
      <c r="S28" s="4">
        <v>12</v>
      </c>
    </row>
    <row r="29" spans="2:19" ht="11.25" x14ac:dyDescent="0.15">
      <c r="B29" s="3">
        <v>4218582</v>
      </c>
      <c r="C29" s="4">
        <v>18</v>
      </c>
      <c r="D29" s="6">
        <v>29</v>
      </c>
      <c r="E29" s="7" t="s">
        <v>18</v>
      </c>
      <c r="F29" s="7" t="s">
        <v>1691</v>
      </c>
      <c r="G29" s="7" t="s">
        <v>1691</v>
      </c>
      <c r="H29" s="7" t="s">
        <v>1691</v>
      </c>
      <c r="I29" s="7" t="s">
        <v>1691</v>
      </c>
      <c r="J29" s="7" t="s">
        <v>1691</v>
      </c>
      <c r="K29" s="7" t="s">
        <v>1691</v>
      </c>
      <c r="L29" s="7" t="s">
        <v>1691</v>
      </c>
      <c r="M29" s="7" t="s">
        <v>1691</v>
      </c>
      <c r="N29" s="7" t="s">
        <v>1691</v>
      </c>
      <c r="O29" s="5" t="s">
        <v>17</v>
      </c>
      <c r="P29" s="45">
        <v>69.89</v>
      </c>
      <c r="Q29" s="47">
        <f t="shared" si="0"/>
        <v>74.35106472199999</v>
      </c>
      <c r="R29" s="4">
        <v>180</v>
      </c>
      <c r="S29" s="4">
        <v>12</v>
      </c>
    </row>
    <row r="30" spans="2:19" ht="11.25" x14ac:dyDescent="0.15">
      <c r="B30" s="3">
        <v>4218583</v>
      </c>
      <c r="C30" s="4">
        <v>19</v>
      </c>
      <c r="D30" s="6">
        <v>30</v>
      </c>
      <c r="E30" s="7" t="s">
        <v>18</v>
      </c>
      <c r="F30" s="7" t="s">
        <v>1691</v>
      </c>
      <c r="G30" s="7" t="s">
        <v>1691</v>
      </c>
      <c r="H30" s="7" t="s">
        <v>1691</v>
      </c>
      <c r="I30" s="7" t="s">
        <v>1691</v>
      </c>
      <c r="J30" s="7" t="s">
        <v>1691</v>
      </c>
      <c r="K30" s="7" t="s">
        <v>1691</v>
      </c>
      <c r="L30" s="7" t="s">
        <v>1691</v>
      </c>
      <c r="M30" s="7" t="s">
        <v>1691</v>
      </c>
      <c r="N30" s="7" t="s">
        <v>1691</v>
      </c>
      <c r="O30" s="5" t="s">
        <v>19</v>
      </c>
      <c r="P30" s="45">
        <v>279.58</v>
      </c>
      <c r="Q30" s="47">
        <f t="shared" si="0"/>
        <v>297.42553548399997</v>
      </c>
      <c r="R30" s="4">
        <v>180</v>
      </c>
      <c r="S30" s="4">
        <v>12</v>
      </c>
    </row>
    <row r="31" spans="2:19" ht="11.25" x14ac:dyDescent="0.15">
      <c r="B31" s="3">
        <v>4218584</v>
      </c>
      <c r="C31" s="4">
        <v>20</v>
      </c>
      <c r="D31" s="6">
        <v>31</v>
      </c>
      <c r="E31" s="7" t="s">
        <v>18</v>
      </c>
      <c r="F31" s="7" t="s">
        <v>1691</v>
      </c>
      <c r="G31" s="7" t="s">
        <v>1691</v>
      </c>
      <c r="H31" s="7" t="s">
        <v>1691</v>
      </c>
      <c r="I31" s="7" t="s">
        <v>1691</v>
      </c>
      <c r="J31" s="7" t="s">
        <v>1691</v>
      </c>
      <c r="K31" s="7" t="s">
        <v>1691</v>
      </c>
      <c r="L31" s="7" t="s">
        <v>1691</v>
      </c>
      <c r="M31" s="7" t="s">
        <v>1691</v>
      </c>
      <c r="N31" s="7" t="s">
        <v>1691</v>
      </c>
      <c r="O31" s="5" t="s">
        <v>20</v>
      </c>
      <c r="P31" s="45">
        <v>419.36</v>
      </c>
      <c r="Q31" s="47">
        <f t="shared" si="0"/>
        <v>446.127664928</v>
      </c>
      <c r="R31" s="4">
        <v>180</v>
      </c>
      <c r="S31" s="4">
        <v>12</v>
      </c>
    </row>
    <row r="32" spans="2:19" ht="11.25" x14ac:dyDescent="0.15">
      <c r="B32" s="3">
        <v>4218585</v>
      </c>
      <c r="C32" s="4">
        <v>21</v>
      </c>
      <c r="D32" s="6">
        <v>32</v>
      </c>
      <c r="E32" s="7" t="s">
        <v>18</v>
      </c>
      <c r="F32" s="7"/>
      <c r="G32" s="7" t="s">
        <v>1691</v>
      </c>
      <c r="H32" s="7" t="s">
        <v>1691</v>
      </c>
      <c r="I32" s="7"/>
      <c r="J32" s="7"/>
      <c r="K32" s="7"/>
      <c r="L32" s="7"/>
      <c r="M32" s="7" t="s">
        <v>1691</v>
      </c>
      <c r="N32" s="7" t="s">
        <v>1691</v>
      </c>
      <c r="O32" s="5" t="s">
        <v>21</v>
      </c>
      <c r="P32" s="45">
        <v>584.49</v>
      </c>
      <c r="Q32" s="47">
        <f t="shared" si="0"/>
        <v>621.79787980200001</v>
      </c>
      <c r="R32" s="4">
        <v>180</v>
      </c>
      <c r="S32" s="4">
        <v>12</v>
      </c>
    </row>
    <row r="33" spans="2:19" ht="11.25" x14ac:dyDescent="0.15">
      <c r="B33" s="3">
        <v>4218586</v>
      </c>
      <c r="C33" s="4">
        <v>22</v>
      </c>
      <c r="D33" s="6">
        <v>33</v>
      </c>
      <c r="E33" s="7" t="s">
        <v>18</v>
      </c>
      <c r="F33" s="7"/>
      <c r="G33" s="7" t="s">
        <v>1691</v>
      </c>
      <c r="H33" s="7" t="s">
        <v>1691</v>
      </c>
      <c r="I33" s="7"/>
      <c r="J33" s="7"/>
      <c r="K33" s="7"/>
      <c r="L33" s="7"/>
      <c r="M33" s="7" t="s">
        <v>1691</v>
      </c>
      <c r="N33" s="7" t="s">
        <v>1691</v>
      </c>
      <c r="O33" s="5" t="s">
        <v>22</v>
      </c>
      <c r="P33" s="45">
        <v>718.29</v>
      </c>
      <c r="Q33" s="47">
        <f t="shared" si="0"/>
        <v>764.13830704199995</v>
      </c>
      <c r="R33" s="4">
        <v>180</v>
      </c>
      <c r="S33" s="4">
        <v>12</v>
      </c>
    </row>
    <row r="34" spans="2:19" ht="11.25" x14ac:dyDescent="0.15">
      <c r="B34" s="3">
        <v>4218587</v>
      </c>
      <c r="C34" s="4">
        <v>23</v>
      </c>
      <c r="D34" s="6">
        <v>529</v>
      </c>
      <c r="E34" s="7" t="s">
        <v>23</v>
      </c>
      <c r="F34" s="7"/>
      <c r="G34" s="7"/>
      <c r="H34" s="7"/>
      <c r="I34" s="7"/>
      <c r="J34" s="7"/>
      <c r="K34" s="7"/>
      <c r="L34" s="7"/>
      <c r="M34" s="7" t="s">
        <v>1691</v>
      </c>
      <c r="N34" s="7"/>
      <c r="O34" s="5" t="s">
        <v>22</v>
      </c>
      <c r="P34" s="45">
        <v>566.89</v>
      </c>
      <c r="Q34" s="47">
        <f t="shared" si="0"/>
        <v>603.0744753219999</v>
      </c>
      <c r="R34" s="4">
        <v>180</v>
      </c>
      <c r="S34" s="4">
        <v>12</v>
      </c>
    </row>
    <row r="35" spans="2:19" ht="11.25" x14ac:dyDescent="0.15">
      <c r="B35" s="3">
        <v>4218588</v>
      </c>
      <c r="C35" s="4">
        <v>24</v>
      </c>
      <c r="D35" s="6">
        <v>34</v>
      </c>
      <c r="E35" s="7"/>
      <c r="F35" s="7" t="s">
        <v>1691</v>
      </c>
      <c r="G35" s="7" t="s">
        <v>1691</v>
      </c>
      <c r="H35" s="7" t="s">
        <v>1691</v>
      </c>
      <c r="I35" s="7" t="s">
        <v>1691</v>
      </c>
      <c r="J35" s="7" t="s">
        <v>1691</v>
      </c>
      <c r="K35" s="7" t="s">
        <v>1691</v>
      </c>
      <c r="L35" s="7" t="s">
        <v>1691</v>
      </c>
      <c r="M35" s="7" t="s">
        <v>1691</v>
      </c>
      <c r="N35" s="7" t="s">
        <v>1691</v>
      </c>
      <c r="O35" s="5" t="s">
        <v>24</v>
      </c>
      <c r="P35" s="45">
        <v>61.91</v>
      </c>
      <c r="Q35" s="47">
        <f t="shared" si="0"/>
        <v>65.861702917999992</v>
      </c>
      <c r="R35" s="4">
        <v>180</v>
      </c>
      <c r="S35" s="4">
        <v>12</v>
      </c>
    </row>
    <row r="36" spans="2:19" ht="11.25" x14ac:dyDescent="0.15">
      <c r="B36" s="3">
        <v>4218589</v>
      </c>
      <c r="C36" s="4">
        <v>25</v>
      </c>
      <c r="D36" s="6">
        <v>36</v>
      </c>
      <c r="E36" s="7" t="s">
        <v>26</v>
      </c>
      <c r="F36" s="7" t="s">
        <v>1691</v>
      </c>
      <c r="G36" s="7"/>
      <c r="H36" s="7"/>
      <c r="I36" s="7"/>
      <c r="J36" s="7"/>
      <c r="K36" s="7"/>
      <c r="L36" s="7"/>
      <c r="M36" s="7"/>
      <c r="N36" s="7"/>
      <c r="O36" s="5" t="s">
        <v>25</v>
      </c>
      <c r="P36" s="45">
        <v>584.38</v>
      </c>
      <c r="Q36" s="47">
        <f t="shared" si="0"/>
        <v>621.68085852399997</v>
      </c>
      <c r="R36" s="4">
        <v>180</v>
      </c>
      <c r="S36" s="4">
        <v>12</v>
      </c>
    </row>
    <row r="37" spans="2:19" ht="11.25" x14ac:dyDescent="0.15">
      <c r="B37" s="3">
        <v>4218590</v>
      </c>
      <c r="C37" s="4">
        <v>26</v>
      </c>
      <c r="D37" s="6">
        <v>37</v>
      </c>
      <c r="E37" s="7" t="s">
        <v>28</v>
      </c>
      <c r="F37" s="7"/>
      <c r="G37" s="7" t="s">
        <v>1691</v>
      </c>
      <c r="H37" s="7"/>
      <c r="I37" s="7"/>
      <c r="J37" s="7"/>
      <c r="K37" s="7"/>
      <c r="L37" s="7"/>
      <c r="M37" s="7" t="s">
        <v>1691</v>
      </c>
      <c r="N37" s="7"/>
      <c r="O37" s="5" t="s">
        <v>27</v>
      </c>
      <c r="P37" s="45">
        <v>751.35</v>
      </c>
      <c r="Q37" s="47">
        <f t="shared" si="0"/>
        <v>799.30852023</v>
      </c>
      <c r="R37" s="4">
        <v>180</v>
      </c>
      <c r="S37" s="4">
        <v>12</v>
      </c>
    </row>
    <row r="38" spans="2:19" ht="11.25" x14ac:dyDescent="0.15">
      <c r="B38" s="3">
        <v>4218591</v>
      </c>
      <c r="C38" s="4">
        <v>27</v>
      </c>
      <c r="D38" s="6">
        <v>38</v>
      </c>
      <c r="E38" s="7" t="s">
        <v>30</v>
      </c>
      <c r="F38" s="7"/>
      <c r="G38" s="7"/>
      <c r="H38" s="7" t="s">
        <v>1691</v>
      </c>
      <c r="I38" s="7"/>
      <c r="J38" s="7"/>
      <c r="K38" s="7"/>
      <c r="L38" s="7"/>
      <c r="M38" s="7"/>
      <c r="N38" s="7" t="s">
        <v>1691</v>
      </c>
      <c r="O38" s="5" t="s">
        <v>29</v>
      </c>
      <c r="P38" s="45">
        <v>834.83</v>
      </c>
      <c r="Q38" s="47">
        <f t="shared" si="0"/>
        <v>888.11703193400001</v>
      </c>
      <c r="R38" s="4">
        <v>180</v>
      </c>
      <c r="S38" s="4">
        <v>12</v>
      </c>
    </row>
    <row r="39" spans="2:19" ht="11.25" x14ac:dyDescent="0.15">
      <c r="B39" s="3">
        <v>4218592</v>
      </c>
      <c r="C39" s="4">
        <v>28</v>
      </c>
      <c r="D39" s="6">
        <v>531</v>
      </c>
      <c r="E39" s="7" t="s">
        <v>32</v>
      </c>
      <c r="F39" s="7"/>
      <c r="G39" s="7"/>
      <c r="H39" s="7"/>
      <c r="I39" s="7" t="s">
        <v>1691</v>
      </c>
      <c r="J39" s="7"/>
      <c r="K39" s="7"/>
      <c r="L39" s="7"/>
      <c r="M39" s="7"/>
      <c r="N39" s="7"/>
      <c r="O39" s="5" t="s">
        <v>31</v>
      </c>
      <c r="P39" s="45">
        <v>500.9</v>
      </c>
      <c r="Q39" s="47">
        <f t="shared" si="0"/>
        <v>532.87234681999996</v>
      </c>
      <c r="R39" s="4">
        <v>180</v>
      </c>
      <c r="S39" s="4">
        <v>12</v>
      </c>
    </row>
    <row r="40" spans="2:19" ht="11.25" x14ac:dyDescent="0.15">
      <c r="B40" s="3">
        <v>4218593</v>
      </c>
      <c r="C40" s="4">
        <v>29</v>
      </c>
      <c r="D40" s="6">
        <v>532</v>
      </c>
      <c r="E40" s="7" t="s">
        <v>32</v>
      </c>
      <c r="F40" s="7"/>
      <c r="G40" s="7"/>
      <c r="H40" s="7"/>
      <c r="I40" s="7"/>
      <c r="J40" s="7" t="s">
        <v>1691</v>
      </c>
      <c r="K40" s="7" t="s">
        <v>1691</v>
      </c>
      <c r="L40" s="7" t="s">
        <v>1691</v>
      </c>
      <c r="M40" s="7"/>
      <c r="N40" s="7"/>
      <c r="O40" s="5" t="s">
        <v>33</v>
      </c>
      <c r="P40" s="45">
        <v>667.86</v>
      </c>
      <c r="Q40" s="47">
        <f t="shared" si="0"/>
        <v>710.48937022799998</v>
      </c>
      <c r="R40" s="4">
        <v>180</v>
      </c>
      <c r="S40" s="4">
        <v>12</v>
      </c>
    </row>
    <row r="41" spans="2:19" ht="11.25" x14ac:dyDescent="0.15">
      <c r="B41" s="3">
        <v>4218594</v>
      </c>
      <c r="C41" s="4">
        <v>30</v>
      </c>
      <c r="D41" s="6">
        <v>44</v>
      </c>
      <c r="E41" s="7" t="s">
        <v>35</v>
      </c>
      <c r="F41" s="7" t="s">
        <v>1691</v>
      </c>
      <c r="G41" s="7"/>
      <c r="H41" s="7"/>
      <c r="I41" s="7"/>
      <c r="J41" s="7"/>
      <c r="K41" s="7"/>
      <c r="L41" s="7"/>
      <c r="M41" s="7"/>
      <c r="N41" s="7"/>
      <c r="O41" s="5" t="s">
        <v>34</v>
      </c>
      <c r="P41" s="45">
        <v>745.27</v>
      </c>
      <c r="Q41" s="47">
        <f t="shared" si="0"/>
        <v>792.84043504599993</v>
      </c>
      <c r="R41" s="4">
        <v>180</v>
      </c>
      <c r="S41" s="4">
        <v>12</v>
      </c>
    </row>
    <row r="42" spans="2:19" ht="11.25" x14ac:dyDescent="0.15">
      <c r="B42" s="3">
        <v>4218595</v>
      </c>
      <c r="C42" s="4">
        <v>31</v>
      </c>
      <c r="D42" s="6">
        <v>45</v>
      </c>
      <c r="E42" s="7" t="s">
        <v>35</v>
      </c>
      <c r="F42" s="7"/>
      <c r="G42" s="7" t="s">
        <v>1691</v>
      </c>
      <c r="H42" s="7"/>
      <c r="I42" s="7"/>
      <c r="J42" s="7"/>
      <c r="K42" s="7"/>
      <c r="L42" s="7"/>
      <c r="M42" s="7" t="s">
        <v>1691</v>
      </c>
      <c r="N42" s="7"/>
      <c r="O42" s="5" t="s">
        <v>36</v>
      </c>
      <c r="P42" s="45">
        <v>978.12</v>
      </c>
      <c r="Q42" s="47">
        <f t="shared" si="0"/>
        <v>1040.5532039759998</v>
      </c>
      <c r="R42" s="4">
        <v>180</v>
      </c>
      <c r="S42" s="4">
        <v>12</v>
      </c>
    </row>
    <row r="43" spans="2:19" ht="11.25" x14ac:dyDescent="0.15">
      <c r="B43" s="3">
        <v>4218596</v>
      </c>
      <c r="C43" s="4">
        <v>32</v>
      </c>
      <c r="D43" s="6">
        <v>46</v>
      </c>
      <c r="E43" s="7" t="s">
        <v>35</v>
      </c>
      <c r="F43" s="7"/>
      <c r="G43" s="7"/>
      <c r="H43" s="7" t="s">
        <v>1691</v>
      </c>
      <c r="I43" s="7"/>
      <c r="J43" s="7"/>
      <c r="K43" s="7"/>
      <c r="L43" s="7"/>
      <c r="M43" s="7"/>
      <c r="N43" s="7"/>
      <c r="O43" s="5" t="s">
        <v>37</v>
      </c>
      <c r="P43" s="45">
        <v>1086.79</v>
      </c>
      <c r="Q43" s="47">
        <f t="shared" si="0"/>
        <v>1156.1595883419998</v>
      </c>
      <c r="R43" s="4">
        <v>180</v>
      </c>
      <c r="S43" s="4">
        <v>12</v>
      </c>
    </row>
    <row r="44" spans="2:19" ht="11.25" x14ac:dyDescent="0.15">
      <c r="B44" s="3">
        <v>4218597</v>
      </c>
      <c r="C44" s="4">
        <v>33</v>
      </c>
      <c r="D44" s="6">
        <v>543</v>
      </c>
      <c r="E44" s="7" t="s">
        <v>35</v>
      </c>
      <c r="F44" s="7"/>
      <c r="G44" s="7"/>
      <c r="H44" s="7"/>
      <c r="I44" s="7" t="s">
        <v>1691</v>
      </c>
      <c r="J44" s="7"/>
      <c r="K44" s="7"/>
      <c r="L44" s="7"/>
      <c r="M44" s="7"/>
      <c r="N44" s="7"/>
      <c r="O44" s="5" t="s">
        <v>38</v>
      </c>
      <c r="P44" s="45">
        <v>652.08000000000004</v>
      </c>
      <c r="Q44" s="47">
        <f t="shared" si="0"/>
        <v>693.70213598400005</v>
      </c>
      <c r="R44" s="4">
        <v>180</v>
      </c>
      <c r="S44" s="4">
        <v>12</v>
      </c>
    </row>
    <row r="45" spans="2:19" ht="11.25" x14ac:dyDescent="0.15">
      <c r="B45" s="3">
        <v>4218598</v>
      </c>
      <c r="C45" s="4">
        <v>34</v>
      </c>
      <c r="D45" s="6">
        <v>544</v>
      </c>
      <c r="E45" s="7" t="s">
        <v>35</v>
      </c>
      <c r="F45" s="7"/>
      <c r="G45" s="7"/>
      <c r="H45" s="7"/>
      <c r="I45" s="7"/>
      <c r="J45" s="7" t="s">
        <v>1691</v>
      </c>
      <c r="K45" s="7" t="s">
        <v>1691</v>
      </c>
      <c r="L45" s="7" t="s">
        <v>1691</v>
      </c>
      <c r="M45" s="7"/>
      <c r="N45" s="7"/>
      <c r="O45" s="5" t="s">
        <v>39</v>
      </c>
      <c r="P45" s="45">
        <v>869.44</v>
      </c>
      <c r="Q45" s="47">
        <f t="shared" si="0"/>
        <v>924.93618131200003</v>
      </c>
      <c r="R45" s="4">
        <v>180</v>
      </c>
      <c r="S45" s="4">
        <v>12</v>
      </c>
    </row>
    <row r="46" spans="2:19" ht="11.25" x14ac:dyDescent="0.15">
      <c r="B46" s="3">
        <v>4218599</v>
      </c>
      <c r="C46" s="4">
        <v>35</v>
      </c>
      <c r="D46" s="6">
        <v>548</v>
      </c>
      <c r="E46" s="7" t="s">
        <v>35</v>
      </c>
      <c r="F46" s="7"/>
      <c r="G46" s="7"/>
      <c r="H46" s="7"/>
      <c r="I46" s="7"/>
      <c r="J46" s="7"/>
      <c r="K46" s="7"/>
      <c r="L46" s="7"/>
      <c r="M46" s="7"/>
      <c r="N46" s="7" t="s">
        <v>1691</v>
      </c>
      <c r="O46" s="5" t="s">
        <v>1692</v>
      </c>
      <c r="P46" s="45">
        <v>1086.79</v>
      </c>
      <c r="Q46" s="47">
        <f t="shared" si="0"/>
        <v>1156.1595883419998</v>
      </c>
      <c r="R46" s="4">
        <v>180</v>
      </c>
      <c r="S46" s="4">
        <v>12</v>
      </c>
    </row>
    <row r="47" spans="2:19" ht="11.25" x14ac:dyDescent="0.15">
      <c r="B47" s="3">
        <v>4218600</v>
      </c>
      <c r="C47" s="4">
        <v>36</v>
      </c>
      <c r="D47" s="6">
        <v>52</v>
      </c>
      <c r="E47" s="7" t="s">
        <v>41</v>
      </c>
      <c r="F47" s="7" t="s">
        <v>1691</v>
      </c>
      <c r="G47" s="7" t="s">
        <v>1691</v>
      </c>
      <c r="H47" s="7" t="s">
        <v>1691</v>
      </c>
      <c r="I47" s="7" t="s">
        <v>1691</v>
      </c>
      <c r="J47" s="7" t="s">
        <v>1691</v>
      </c>
      <c r="K47" s="7" t="s">
        <v>1691</v>
      </c>
      <c r="L47" s="7" t="s">
        <v>1691</v>
      </c>
      <c r="M47" s="7" t="s">
        <v>1691</v>
      </c>
      <c r="N47" s="7" t="s">
        <v>1691</v>
      </c>
      <c r="O47" s="5" t="s">
        <v>40</v>
      </c>
      <c r="P47" s="45">
        <v>179.46</v>
      </c>
      <c r="Q47" s="47">
        <f t="shared" si="0"/>
        <v>190.91489590800001</v>
      </c>
      <c r="R47" s="4">
        <v>180</v>
      </c>
      <c r="S47" s="4">
        <v>12</v>
      </c>
    </row>
    <row r="48" spans="2:19" ht="11.25" x14ac:dyDescent="0.15">
      <c r="B48" s="3">
        <v>4218601</v>
      </c>
      <c r="C48" s="4">
        <v>37</v>
      </c>
      <c r="D48" s="6">
        <v>53</v>
      </c>
      <c r="E48" s="7" t="s">
        <v>42</v>
      </c>
      <c r="F48" s="7" t="s">
        <v>1691</v>
      </c>
      <c r="G48" s="7" t="s">
        <v>1691</v>
      </c>
      <c r="H48" s="7" t="s">
        <v>1691</v>
      </c>
      <c r="I48" s="7" t="s">
        <v>1691</v>
      </c>
      <c r="J48" s="7" t="s">
        <v>1691</v>
      </c>
      <c r="K48" s="7" t="s">
        <v>1691</v>
      </c>
      <c r="L48" s="7" t="s">
        <v>1691</v>
      </c>
      <c r="M48" s="7" t="s">
        <v>1691</v>
      </c>
      <c r="N48" s="7" t="s">
        <v>1691</v>
      </c>
      <c r="O48" s="5" t="s">
        <v>1693</v>
      </c>
      <c r="P48" s="45">
        <v>1733.82</v>
      </c>
      <c r="Q48" s="47">
        <f t="shared" si="0"/>
        <v>1844.4893838359999</v>
      </c>
      <c r="R48" s="4">
        <v>180</v>
      </c>
      <c r="S48" s="4">
        <v>12</v>
      </c>
    </row>
    <row r="49" spans="2:19" ht="11.25" x14ac:dyDescent="0.15">
      <c r="B49" s="3">
        <v>4218602</v>
      </c>
      <c r="C49" s="4">
        <v>38</v>
      </c>
      <c r="D49" s="6">
        <v>55</v>
      </c>
      <c r="E49" s="7"/>
      <c r="F49" s="7" t="s">
        <v>1691</v>
      </c>
      <c r="G49" s="7"/>
      <c r="H49" s="7"/>
      <c r="I49" s="7"/>
      <c r="J49" s="7"/>
      <c r="K49" s="7"/>
      <c r="L49" s="7"/>
      <c r="M49" s="7"/>
      <c r="N49" s="7"/>
      <c r="O49" s="5" t="s">
        <v>43</v>
      </c>
      <c r="P49" s="45">
        <v>501.29</v>
      </c>
      <c r="Q49" s="47">
        <f t="shared" si="0"/>
        <v>533.28724044199998</v>
      </c>
      <c r="R49" s="4">
        <v>180</v>
      </c>
      <c r="S49" s="4">
        <v>12</v>
      </c>
    </row>
    <row r="50" spans="2:19" ht="11.25" x14ac:dyDescent="0.15">
      <c r="B50" s="3">
        <v>4218603</v>
      </c>
      <c r="C50" s="4">
        <v>39</v>
      </c>
      <c r="D50" s="6">
        <v>550</v>
      </c>
      <c r="E50" s="7"/>
      <c r="F50" s="7"/>
      <c r="G50" s="7"/>
      <c r="H50" s="7"/>
      <c r="I50" s="7" t="s">
        <v>1691</v>
      </c>
      <c r="J50" s="7"/>
      <c r="K50" s="7"/>
      <c r="L50" s="7"/>
      <c r="M50" s="7"/>
      <c r="N50" s="7"/>
      <c r="O50" s="5" t="s">
        <v>44</v>
      </c>
      <c r="P50" s="45">
        <v>288.14999999999998</v>
      </c>
      <c r="Q50" s="47">
        <f t="shared" si="0"/>
        <v>306.54255686999994</v>
      </c>
      <c r="R50" s="4">
        <v>180</v>
      </c>
      <c r="S50" s="4">
        <v>12</v>
      </c>
    </row>
    <row r="51" spans="2:19" ht="11.25" x14ac:dyDescent="0.15">
      <c r="B51" s="3">
        <v>4218604</v>
      </c>
      <c r="C51" s="4">
        <v>40</v>
      </c>
      <c r="D51" s="6"/>
      <c r="E51" s="7"/>
      <c r="F51" s="7"/>
      <c r="G51" s="7" t="s">
        <v>1691</v>
      </c>
      <c r="H51" s="7" t="s">
        <v>1691</v>
      </c>
      <c r="I51" s="7"/>
      <c r="J51" s="7"/>
      <c r="K51" s="7"/>
      <c r="L51" s="7"/>
      <c r="M51" s="7" t="s">
        <v>1691</v>
      </c>
      <c r="N51" s="7" t="s">
        <v>1691</v>
      </c>
      <c r="O51" s="5" t="s">
        <v>45</v>
      </c>
      <c r="P51" s="45">
        <v>7963.47</v>
      </c>
      <c r="Q51" s="47">
        <f t="shared" si="0"/>
        <v>8471.7766974059996</v>
      </c>
      <c r="R51" s="4">
        <v>180</v>
      </c>
      <c r="S51" s="4">
        <v>12</v>
      </c>
    </row>
    <row r="52" spans="2:19" ht="11.25" x14ac:dyDescent="0.15">
      <c r="B52" s="3">
        <v>4218605</v>
      </c>
      <c r="C52" s="4">
        <v>41</v>
      </c>
      <c r="D52" s="6"/>
      <c r="E52" s="7"/>
      <c r="F52" s="7"/>
      <c r="G52" s="7"/>
      <c r="H52" s="7"/>
      <c r="I52" s="7"/>
      <c r="J52" s="7" t="s">
        <v>1691</v>
      </c>
      <c r="K52" s="7" t="s">
        <v>1691</v>
      </c>
      <c r="L52" s="7" t="s">
        <v>1691</v>
      </c>
      <c r="M52" s="7"/>
      <c r="N52" s="7"/>
      <c r="O52" s="5" t="s">
        <v>46</v>
      </c>
      <c r="P52" s="45">
        <v>655.87</v>
      </c>
      <c r="Q52" s="47">
        <f t="shared" si="0"/>
        <v>697.73405092600001</v>
      </c>
      <c r="R52" s="4">
        <v>180</v>
      </c>
      <c r="S52" s="4">
        <v>12</v>
      </c>
    </row>
    <row r="53" spans="2:19" ht="11.25" x14ac:dyDescent="0.15">
      <c r="B53" s="3">
        <v>4218606</v>
      </c>
      <c r="C53" s="4">
        <v>42</v>
      </c>
      <c r="D53" s="6">
        <v>58</v>
      </c>
      <c r="E53" s="7" t="s">
        <v>48</v>
      </c>
      <c r="F53" s="7" t="s">
        <v>1691</v>
      </c>
      <c r="G53" s="7" t="s">
        <v>1691</v>
      </c>
      <c r="H53" s="7" t="s">
        <v>1691</v>
      </c>
      <c r="I53" s="7" t="s">
        <v>1691</v>
      </c>
      <c r="J53" s="7" t="s">
        <v>1691</v>
      </c>
      <c r="K53" s="7" t="s">
        <v>1691</v>
      </c>
      <c r="L53" s="7" t="s">
        <v>1691</v>
      </c>
      <c r="M53" s="7" t="s">
        <v>1691</v>
      </c>
      <c r="N53" s="7" t="s">
        <v>1691</v>
      </c>
      <c r="O53" s="5" t="s">
        <v>47</v>
      </c>
      <c r="P53" s="45">
        <v>68.59</v>
      </c>
      <c r="Q53" s="47">
        <f t="shared" si="0"/>
        <v>72.968085982000005</v>
      </c>
      <c r="R53" s="4">
        <v>180</v>
      </c>
      <c r="S53" s="4">
        <v>12</v>
      </c>
    </row>
    <row r="54" spans="2:19" ht="11.25" x14ac:dyDescent="0.15">
      <c r="B54" s="3">
        <v>4218607</v>
      </c>
      <c r="C54" s="4">
        <v>43</v>
      </c>
      <c r="D54" s="6">
        <v>59</v>
      </c>
      <c r="E54" s="7"/>
      <c r="F54" s="7" t="s">
        <v>1691</v>
      </c>
      <c r="G54" s="7" t="s">
        <v>1691</v>
      </c>
      <c r="H54" s="7" t="s">
        <v>1691</v>
      </c>
      <c r="I54" s="7" t="s">
        <v>1691</v>
      </c>
      <c r="J54" s="7" t="s">
        <v>1691</v>
      </c>
      <c r="K54" s="7" t="s">
        <v>1691</v>
      </c>
      <c r="L54" s="7" t="s">
        <v>1691</v>
      </c>
      <c r="M54" s="7" t="s">
        <v>1691</v>
      </c>
      <c r="N54" s="7" t="s">
        <v>1691</v>
      </c>
      <c r="O54" s="5" t="s">
        <v>47</v>
      </c>
      <c r="P54" s="45">
        <v>29.6</v>
      </c>
      <c r="Q54" s="47">
        <f t="shared" si="0"/>
        <v>31.489362079999999</v>
      </c>
      <c r="R54" s="4">
        <v>180</v>
      </c>
      <c r="S54" s="4">
        <v>12</v>
      </c>
    </row>
    <row r="55" spans="2:19" ht="11.25" x14ac:dyDescent="0.15">
      <c r="B55" s="3">
        <v>4218608</v>
      </c>
      <c r="C55" s="4">
        <v>44</v>
      </c>
      <c r="D55" s="6">
        <v>60</v>
      </c>
      <c r="E55" s="7" t="s">
        <v>50</v>
      </c>
      <c r="F55" s="7" t="s">
        <v>1691</v>
      </c>
      <c r="G55" s="7" t="s">
        <v>1691</v>
      </c>
      <c r="H55" s="7" t="s">
        <v>1691</v>
      </c>
      <c r="I55" s="7" t="s">
        <v>1691</v>
      </c>
      <c r="J55" s="7" t="s">
        <v>1691</v>
      </c>
      <c r="K55" s="7" t="s">
        <v>1691</v>
      </c>
      <c r="L55" s="7" t="s">
        <v>1691</v>
      </c>
      <c r="M55" s="7" t="s">
        <v>1691</v>
      </c>
      <c r="N55" s="7" t="s">
        <v>1691</v>
      </c>
      <c r="O55" s="5" t="s">
        <v>49</v>
      </c>
      <c r="P55" s="45">
        <v>348.9</v>
      </c>
      <c r="Q55" s="47">
        <f t="shared" si="0"/>
        <v>371.17021721999993</v>
      </c>
      <c r="R55" s="4">
        <v>180</v>
      </c>
      <c r="S55" s="4">
        <v>12</v>
      </c>
    </row>
    <row r="56" spans="2:19" ht="11.25" x14ac:dyDescent="0.15">
      <c r="B56" s="3">
        <v>4218609</v>
      </c>
      <c r="C56" s="4">
        <v>45</v>
      </c>
      <c r="D56" s="6">
        <v>68</v>
      </c>
      <c r="E56" s="7" t="s">
        <v>52</v>
      </c>
      <c r="F56" s="7" t="s">
        <v>1691</v>
      </c>
      <c r="G56" s="7" t="s">
        <v>1691</v>
      </c>
      <c r="H56" s="7" t="s">
        <v>1691</v>
      </c>
      <c r="I56" s="7" t="s">
        <v>1691</v>
      </c>
      <c r="J56" s="7" t="s">
        <v>1691</v>
      </c>
      <c r="K56" s="7" t="s">
        <v>1691</v>
      </c>
      <c r="L56" s="7" t="s">
        <v>1691</v>
      </c>
      <c r="M56" s="7" t="s">
        <v>1691</v>
      </c>
      <c r="N56" s="7" t="s">
        <v>1691</v>
      </c>
      <c r="O56" s="5" t="s">
        <v>51</v>
      </c>
      <c r="P56" s="45">
        <v>309.66000000000003</v>
      </c>
      <c r="Q56" s="47">
        <f t="shared" si="0"/>
        <v>329.425535868</v>
      </c>
      <c r="R56" s="4">
        <v>180</v>
      </c>
      <c r="S56" s="4">
        <v>12</v>
      </c>
    </row>
    <row r="57" spans="2:19" ht="11.25" x14ac:dyDescent="0.15">
      <c r="B57" s="3">
        <v>4218610</v>
      </c>
      <c r="C57" s="4">
        <v>46</v>
      </c>
      <c r="D57" s="6">
        <v>72</v>
      </c>
      <c r="E57" s="7" t="s">
        <v>53</v>
      </c>
      <c r="F57" s="7" t="s">
        <v>1691</v>
      </c>
      <c r="G57" s="7" t="s">
        <v>1691</v>
      </c>
      <c r="H57" s="7" t="s">
        <v>1691</v>
      </c>
      <c r="I57" s="7" t="s">
        <v>1691</v>
      </c>
      <c r="J57" s="7" t="s">
        <v>1691</v>
      </c>
      <c r="K57" s="7" t="s">
        <v>1691</v>
      </c>
      <c r="L57" s="7" t="s">
        <v>1691</v>
      </c>
      <c r="M57" s="7"/>
      <c r="N57" s="7"/>
      <c r="O57" s="5" t="s">
        <v>1695</v>
      </c>
      <c r="P57" s="45">
        <v>270.37</v>
      </c>
      <c r="Q57" s="47">
        <f t="shared" si="0"/>
        <v>287.62766302599999</v>
      </c>
      <c r="R57" s="4">
        <v>180</v>
      </c>
      <c r="S57" s="4">
        <v>12</v>
      </c>
    </row>
    <row r="58" spans="2:19" ht="11.25" x14ac:dyDescent="0.15">
      <c r="B58" s="3">
        <v>4218611</v>
      </c>
      <c r="C58" s="4">
        <v>47</v>
      </c>
      <c r="D58" s="6">
        <v>572</v>
      </c>
      <c r="E58" s="7" t="s">
        <v>53</v>
      </c>
      <c r="F58" s="7"/>
      <c r="G58" s="7"/>
      <c r="H58" s="7"/>
      <c r="I58" s="7"/>
      <c r="J58" s="7"/>
      <c r="K58" s="7"/>
      <c r="L58" s="7"/>
      <c r="M58" s="7" t="s">
        <v>1691</v>
      </c>
      <c r="N58" s="7" t="s">
        <v>1691</v>
      </c>
      <c r="O58" s="5" t="s">
        <v>1694</v>
      </c>
      <c r="P58" s="45">
        <v>540.76</v>
      </c>
      <c r="Q58" s="47">
        <f t="shared" si="0"/>
        <v>575.27660264799999</v>
      </c>
      <c r="R58" s="4">
        <v>180</v>
      </c>
      <c r="S58" s="4">
        <v>12</v>
      </c>
    </row>
    <row r="59" spans="2:19" ht="11.25" x14ac:dyDescent="0.15">
      <c r="B59" s="3">
        <v>4218612</v>
      </c>
      <c r="C59" s="4">
        <v>48</v>
      </c>
      <c r="D59" s="6">
        <v>76</v>
      </c>
      <c r="E59" s="7"/>
      <c r="F59" s="7" t="s">
        <v>1691</v>
      </c>
      <c r="G59" s="7"/>
      <c r="H59" s="7"/>
      <c r="I59" s="7" t="s">
        <v>1691</v>
      </c>
      <c r="J59" s="7"/>
      <c r="K59" s="7"/>
      <c r="L59" s="7"/>
      <c r="M59" s="7"/>
      <c r="N59" s="7"/>
      <c r="O59" s="5" t="s">
        <v>54</v>
      </c>
      <c r="P59" s="45">
        <v>6417.28</v>
      </c>
      <c r="Q59" s="47">
        <f t="shared" si="0"/>
        <v>6826.893698943999</v>
      </c>
      <c r="R59" s="4">
        <v>180</v>
      </c>
      <c r="S59" s="4">
        <v>12</v>
      </c>
    </row>
    <row r="60" spans="2:19" ht="11.25" x14ac:dyDescent="0.15">
      <c r="B60" s="3">
        <v>4218613</v>
      </c>
      <c r="C60" s="4">
        <v>49</v>
      </c>
      <c r="D60" s="6">
        <v>77</v>
      </c>
      <c r="E60" s="7"/>
      <c r="F60" s="7"/>
      <c r="G60" s="7" t="s">
        <v>1691</v>
      </c>
      <c r="H60" s="7"/>
      <c r="I60" s="7"/>
      <c r="J60" s="7"/>
      <c r="K60" s="7"/>
      <c r="L60" s="7"/>
      <c r="M60" s="7" t="s">
        <v>1691</v>
      </c>
      <c r="N60" s="7"/>
      <c r="O60" s="5" t="s">
        <v>1696</v>
      </c>
      <c r="P60" s="45">
        <v>8274</v>
      </c>
      <c r="Q60" s="47">
        <f t="shared" si="0"/>
        <v>8802.127765199999</v>
      </c>
      <c r="R60" s="4">
        <v>180</v>
      </c>
      <c r="S60" s="4">
        <v>12</v>
      </c>
    </row>
    <row r="61" spans="2:19" ht="11.25" x14ac:dyDescent="0.15">
      <c r="B61" s="3">
        <v>4218614</v>
      </c>
      <c r="C61" s="4">
        <v>50</v>
      </c>
      <c r="D61" s="6">
        <v>78</v>
      </c>
      <c r="E61" s="7"/>
      <c r="F61" s="7"/>
      <c r="G61" s="7"/>
      <c r="H61" s="7" t="s">
        <v>1691</v>
      </c>
      <c r="I61" s="7"/>
      <c r="J61" s="7"/>
      <c r="K61" s="7"/>
      <c r="L61" s="7"/>
      <c r="M61" s="7"/>
      <c r="N61" s="7" t="s">
        <v>1691</v>
      </c>
      <c r="O61" s="5" t="s">
        <v>55</v>
      </c>
      <c r="P61" s="45">
        <v>9653</v>
      </c>
      <c r="Q61" s="47">
        <f t="shared" si="0"/>
        <v>10269.149059399999</v>
      </c>
      <c r="R61" s="4">
        <v>180</v>
      </c>
      <c r="S61" s="4">
        <v>12</v>
      </c>
    </row>
    <row r="62" spans="2:19" ht="11.25" x14ac:dyDescent="0.15">
      <c r="B62" s="3">
        <v>4218615</v>
      </c>
      <c r="C62" s="4">
        <v>51</v>
      </c>
      <c r="D62" s="6">
        <v>79</v>
      </c>
      <c r="E62" s="7"/>
      <c r="F62" s="7"/>
      <c r="G62" s="7"/>
      <c r="H62" s="7"/>
      <c r="I62" s="7"/>
      <c r="J62" s="7" t="s">
        <v>1691</v>
      </c>
      <c r="K62" s="7" t="s">
        <v>1691</v>
      </c>
      <c r="L62" s="7" t="s">
        <v>1691</v>
      </c>
      <c r="M62" s="7"/>
      <c r="N62" s="7"/>
      <c r="O62" s="5" t="s">
        <v>56</v>
      </c>
      <c r="P62" s="45">
        <v>7538.85</v>
      </c>
      <c r="Q62" s="47">
        <f t="shared" si="0"/>
        <v>8020.0532877300002</v>
      </c>
      <c r="R62" s="4">
        <v>180</v>
      </c>
      <c r="S62" s="4">
        <v>12</v>
      </c>
    </row>
    <row r="63" spans="2:19" ht="11.25" x14ac:dyDescent="0.15">
      <c r="B63" s="3">
        <v>4218616</v>
      </c>
      <c r="C63" s="4">
        <v>52</v>
      </c>
      <c r="D63" s="6">
        <v>80</v>
      </c>
      <c r="E63" s="7"/>
      <c r="F63" s="7"/>
      <c r="G63" s="7" t="s">
        <v>1691</v>
      </c>
      <c r="H63" s="7" t="s">
        <v>1691</v>
      </c>
      <c r="I63" s="7"/>
      <c r="J63" s="7" t="s">
        <v>1691</v>
      </c>
      <c r="K63" s="7" t="s">
        <v>1691</v>
      </c>
      <c r="L63" s="7" t="s">
        <v>1691</v>
      </c>
      <c r="M63" s="7" t="s">
        <v>1691</v>
      </c>
      <c r="N63" s="7" t="s">
        <v>1691</v>
      </c>
      <c r="O63" s="5" t="s">
        <v>57</v>
      </c>
      <c r="P63" s="45">
        <v>4627.62</v>
      </c>
      <c r="Q63" s="47">
        <f t="shared" si="0"/>
        <v>4923.0000590759992</v>
      </c>
      <c r="R63" s="4">
        <v>180</v>
      </c>
      <c r="S63" s="4">
        <v>12</v>
      </c>
    </row>
    <row r="64" spans="2:19" ht="11.25" x14ac:dyDescent="0.15">
      <c r="B64" s="3">
        <v>4218617</v>
      </c>
      <c r="C64" s="4">
        <v>53</v>
      </c>
      <c r="D64" s="6">
        <v>92</v>
      </c>
      <c r="E64" s="7"/>
      <c r="F64" s="7" t="s">
        <v>1691</v>
      </c>
      <c r="G64" s="7" t="s">
        <v>1691</v>
      </c>
      <c r="H64" s="7" t="s">
        <v>1691</v>
      </c>
      <c r="I64" s="7" t="s">
        <v>1691</v>
      </c>
      <c r="J64" s="7" t="s">
        <v>1691</v>
      </c>
      <c r="K64" s="7" t="s">
        <v>1691</v>
      </c>
      <c r="L64" s="7" t="s">
        <v>1691</v>
      </c>
      <c r="M64" s="7" t="s">
        <v>1691</v>
      </c>
      <c r="N64" s="7" t="s">
        <v>1691</v>
      </c>
      <c r="O64" s="5" t="s">
        <v>58</v>
      </c>
      <c r="P64" s="45">
        <v>276.88</v>
      </c>
      <c r="Q64" s="47">
        <f t="shared" si="0"/>
        <v>294.55319502399999</v>
      </c>
      <c r="R64" s="4">
        <v>180</v>
      </c>
      <c r="S64" s="4">
        <v>12</v>
      </c>
    </row>
    <row r="65" spans="2:19" ht="11.25" x14ac:dyDescent="0.15">
      <c r="B65" s="3">
        <v>4218618</v>
      </c>
      <c r="C65" s="4">
        <v>54</v>
      </c>
      <c r="D65" s="6">
        <v>93</v>
      </c>
      <c r="E65" s="7"/>
      <c r="F65" s="7" t="s">
        <v>1691</v>
      </c>
      <c r="G65" s="7" t="s">
        <v>1691</v>
      </c>
      <c r="H65" s="7" t="s">
        <v>1691</v>
      </c>
      <c r="I65" s="7" t="s">
        <v>1691</v>
      </c>
      <c r="J65" s="7" t="s">
        <v>1691</v>
      </c>
      <c r="K65" s="7" t="s">
        <v>1691</v>
      </c>
      <c r="L65" s="7" t="s">
        <v>1691</v>
      </c>
      <c r="M65" s="7" t="s">
        <v>1691</v>
      </c>
      <c r="N65" s="7" t="s">
        <v>1691</v>
      </c>
      <c r="O65" s="5" t="s">
        <v>59</v>
      </c>
      <c r="P65" s="45">
        <v>109.35</v>
      </c>
      <c r="Q65" s="47">
        <f t="shared" si="0"/>
        <v>116.32978862999998</v>
      </c>
      <c r="R65" s="4">
        <v>180</v>
      </c>
      <c r="S65" s="4">
        <v>12</v>
      </c>
    </row>
    <row r="66" spans="2:19" ht="11.25" x14ac:dyDescent="0.15">
      <c r="B66" s="3">
        <v>4218619</v>
      </c>
      <c r="C66" s="4">
        <v>55</v>
      </c>
      <c r="D66" s="6">
        <v>94</v>
      </c>
      <c r="E66" s="7"/>
      <c r="F66" s="7" t="s">
        <v>1691</v>
      </c>
      <c r="G66" s="7" t="s">
        <v>1691</v>
      </c>
      <c r="H66" s="7" t="s">
        <v>1691</v>
      </c>
      <c r="I66" s="7" t="s">
        <v>1691</v>
      </c>
      <c r="J66" s="7" t="s">
        <v>1691</v>
      </c>
      <c r="K66" s="7" t="s">
        <v>1691</v>
      </c>
      <c r="L66" s="7" t="s">
        <v>1691</v>
      </c>
      <c r="M66" s="7" t="s">
        <v>1691</v>
      </c>
      <c r="N66" s="7" t="s">
        <v>1691</v>
      </c>
      <c r="O66" s="5" t="s">
        <v>60</v>
      </c>
      <c r="P66" s="45">
        <v>394.82</v>
      </c>
      <c r="Q66" s="47">
        <f t="shared" si="0"/>
        <v>420.02128163599997</v>
      </c>
      <c r="R66" s="4">
        <v>180</v>
      </c>
      <c r="S66" s="4">
        <v>12</v>
      </c>
    </row>
    <row r="67" spans="2:19" ht="11.25" x14ac:dyDescent="0.15">
      <c r="B67" s="3">
        <v>4218620</v>
      </c>
      <c r="C67" s="4">
        <v>56</v>
      </c>
      <c r="D67" s="6">
        <v>95</v>
      </c>
      <c r="E67" s="7" t="s">
        <v>41</v>
      </c>
      <c r="F67" s="7" t="s">
        <v>1691</v>
      </c>
      <c r="G67" s="7" t="s">
        <v>1691</v>
      </c>
      <c r="H67" s="7" t="s">
        <v>1691</v>
      </c>
      <c r="I67" s="7" t="s">
        <v>1691</v>
      </c>
      <c r="J67" s="7" t="s">
        <v>1691</v>
      </c>
      <c r="K67" s="7" t="s">
        <v>1691</v>
      </c>
      <c r="L67" s="7" t="s">
        <v>1691</v>
      </c>
      <c r="M67" s="7" t="s">
        <v>1691</v>
      </c>
      <c r="N67" s="7" t="s">
        <v>1691</v>
      </c>
      <c r="O67" s="5" t="s">
        <v>61</v>
      </c>
      <c r="P67" s="45">
        <v>407.29</v>
      </c>
      <c r="Q67" s="47">
        <f t="shared" si="0"/>
        <v>433.287239242</v>
      </c>
      <c r="R67" s="4">
        <v>180</v>
      </c>
      <c r="S67" s="4">
        <v>12</v>
      </c>
    </row>
    <row r="68" spans="2:19" ht="11.25" x14ac:dyDescent="0.15">
      <c r="B68" s="3">
        <v>4218621</v>
      </c>
      <c r="C68" s="4">
        <v>57</v>
      </c>
      <c r="D68" s="6">
        <v>577</v>
      </c>
      <c r="E68" s="7" t="s">
        <v>41</v>
      </c>
      <c r="F68" s="7" t="s">
        <v>1691</v>
      </c>
      <c r="G68" s="7" t="s">
        <v>1691</v>
      </c>
      <c r="H68" s="7" t="s">
        <v>1691</v>
      </c>
      <c r="I68" s="7" t="s">
        <v>1691</v>
      </c>
      <c r="J68" s="7" t="s">
        <v>1691</v>
      </c>
      <c r="K68" s="7" t="s">
        <v>1691</v>
      </c>
      <c r="L68" s="7" t="s">
        <v>1691</v>
      </c>
      <c r="M68" s="7" t="s">
        <v>1691</v>
      </c>
      <c r="N68" s="7" t="s">
        <v>1691</v>
      </c>
      <c r="O68" s="5" t="s">
        <v>62</v>
      </c>
      <c r="P68" s="45">
        <v>44.87</v>
      </c>
      <c r="Q68" s="47">
        <f t="shared" si="0"/>
        <v>47.734043125999996</v>
      </c>
      <c r="R68" s="4">
        <v>180</v>
      </c>
      <c r="S68" s="4">
        <v>12</v>
      </c>
    </row>
    <row r="69" spans="2:19" ht="11.25" x14ac:dyDescent="0.15">
      <c r="B69" s="3">
        <v>4218622</v>
      </c>
      <c r="C69" s="4">
        <v>58</v>
      </c>
      <c r="D69" s="6">
        <v>97</v>
      </c>
      <c r="E69" s="7"/>
      <c r="F69" s="7" t="s">
        <v>1691</v>
      </c>
      <c r="G69" s="7" t="s">
        <v>1691</v>
      </c>
      <c r="H69" s="7" t="s">
        <v>1691</v>
      </c>
      <c r="I69" s="7" t="s">
        <v>1691</v>
      </c>
      <c r="J69" s="7" t="s">
        <v>1691</v>
      </c>
      <c r="K69" s="7" t="s">
        <v>1691</v>
      </c>
      <c r="L69" s="7" t="s">
        <v>1691</v>
      </c>
      <c r="M69" s="7" t="s">
        <v>1691</v>
      </c>
      <c r="N69" s="7" t="s">
        <v>1691</v>
      </c>
      <c r="O69" s="5" t="s">
        <v>63</v>
      </c>
      <c r="P69" s="45">
        <v>773.85</v>
      </c>
      <c r="Q69" s="47">
        <f t="shared" si="0"/>
        <v>823.24469073</v>
      </c>
      <c r="R69" s="4">
        <v>180</v>
      </c>
      <c r="S69" s="4">
        <v>12</v>
      </c>
    </row>
    <row r="70" spans="2:19" ht="11.25" x14ac:dyDescent="0.15">
      <c r="B70" s="3">
        <v>4218623</v>
      </c>
      <c r="C70" s="4">
        <v>59</v>
      </c>
      <c r="D70" s="6">
        <v>101</v>
      </c>
      <c r="E70" s="7"/>
      <c r="F70" s="7" t="s">
        <v>1691</v>
      </c>
      <c r="G70" s="7" t="s">
        <v>1691</v>
      </c>
      <c r="H70" s="7" t="s">
        <v>1691</v>
      </c>
      <c r="I70" s="7" t="s">
        <v>1691</v>
      </c>
      <c r="J70" s="7" t="s">
        <v>1691</v>
      </c>
      <c r="K70" s="7" t="s">
        <v>1691</v>
      </c>
      <c r="L70" s="7" t="s">
        <v>1691</v>
      </c>
      <c r="M70" s="7" t="s">
        <v>1691</v>
      </c>
      <c r="N70" s="7" t="s">
        <v>1691</v>
      </c>
      <c r="O70" s="5" t="s">
        <v>64</v>
      </c>
      <c r="P70" s="45">
        <v>773.85</v>
      </c>
      <c r="Q70" s="47">
        <f t="shared" si="0"/>
        <v>823.24469073</v>
      </c>
      <c r="R70" s="4">
        <v>180</v>
      </c>
      <c r="S70" s="4">
        <v>12</v>
      </c>
    </row>
    <row r="71" spans="2:19" ht="11.25" x14ac:dyDescent="0.15">
      <c r="B71" s="3">
        <v>4218624</v>
      </c>
      <c r="C71" s="4">
        <v>60</v>
      </c>
      <c r="D71" s="6">
        <v>105</v>
      </c>
      <c r="E71" s="7"/>
      <c r="F71" s="7" t="s">
        <v>1691</v>
      </c>
      <c r="G71" s="7" t="s">
        <v>1691</v>
      </c>
      <c r="H71" s="7" t="s">
        <v>1691</v>
      </c>
      <c r="I71" s="7" t="s">
        <v>1691</v>
      </c>
      <c r="J71" s="7" t="s">
        <v>1691</v>
      </c>
      <c r="K71" s="7" t="s">
        <v>1691</v>
      </c>
      <c r="L71" s="7" t="s">
        <v>1691</v>
      </c>
      <c r="M71" s="7" t="s">
        <v>1691</v>
      </c>
      <c r="N71" s="7" t="s">
        <v>1691</v>
      </c>
      <c r="O71" s="5" t="s">
        <v>65</v>
      </c>
      <c r="P71" s="45">
        <v>773.85</v>
      </c>
      <c r="Q71" s="47">
        <f t="shared" si="0"/>
        <v>823.24469073</v>
      </c>
      <c r="R71" s="4">
        <v>180</v>
      </c>
      <c r="S71" s="4">
        <v>12</v>
      </c>
    </row>
    <row r="72" spans="2:19" ht="11.25" x14ac:dyDescent="0.15">
      <c r="B72" s="3">
        <v>4218625</v>
      </c>
      <c r="C72" s="4">
        <v>61</v>
      </c>
      <c r="D72" s="6">
        <v>109</v>
      </c>
      <c r="E72" s="7"/>
      <c r="F72" s="7" t="s">
        <v>1691</v>
      </c>
      <c r="G72" s="7" t="s">
        <v>1691</v>
      </c>
      <c r="H72" s="7" t="s">
        <v>1691</v>
      </c>
      <c r="I72" s="7" t="s">
        <v>1691</v>
      </c>
      <c r="J72" s="7" t="s">
        <v>1691</v>
      </c>
      <c r="K72" s="7" t="s">
        <v>1691</v>
      </c>
      <c r="L72" s="7" t="s">
        <v>1691</v>
      </c>
      <c r="M72" s="7" t="s">
        <v>1691</v>
      </c>
      <c r="N72" s="7" t="s">
        <v>1691</v>
      </c>
      <c r="O72" s="5" t="s">
        <v>66</v>
      </c>
      <c r="P72" s="45">
        <v>773.85</v>
      </c>
      <c r="Q72" s="47">
        <f t="shared" si="0"/>
        <v>823.24469073</v>
      </c>
      <c r="R72" s="4">
        <v>180</v>
      </c>
      <c r="S72" s="4">
        <v>12</v>
      </c>
    </row>
    <row r="73" spans="2:19" ht="11.25" x14ac:dyDescent="0.15">
      <c r="B73" s="3">
        <v>4218626</v>
      </c>
      <c r="C73" s="4">
        <v>62</v>
      </c>
      <c r="D73" s="6">
        <v>113</v>
      </c>
      <c r="E73" s="7"/>
      <c r="F73" s="7" t="s">
        <v>1691</v>
      </c>
      <c r="G73" s="7" t="s">
        <v>1691</v>
      </c>
      <c r="H73" s="7" t="s">
        <v>1691</v>
      </c>
      <c r="I73" s="7" t="s">
        <v>1691</v>
      </c>
      <c r="J73" s="7" t="s">
        <v>1691</v>
      </c>
      <c r="K73" s="7" t="s">
        <v>1691</v>
      </c>
      <c r="L73" s="7" t="s">
        <v>1691</v>
      </c>
      <c r="M73" s="7" t="s">
        <v>1691</v>
      </c>
      <c r="N73" s="7" t="s">
        <v>1691</v>
      </c>
      <c r="O73" s="5" t="s">
        <v>67</v>
      </c>
      <c r="P73" s="45">
        <v>773.85</v>
      </c>
      <c r="Q73" s="47">
        <f t="shared" si="0"/>
        <v>823.24469073</v>
      </c>
      <c r="R73" s="4">
        <v>180</v>
      </c>
      <c r="S73" s="4">
        <v>12</v>
      </c>
    </row>
    <row r="74" spans="2:19" ht="11.25" x14ac:dyDescent="0.15">
      <c r="B74" s="3">
        <v>4218627</v>
      </c>
      <c r="C74" s="4">
        <v>63</v>
      </c>
      <c r="D74" s="6">
        <v>119</v>
      </c>
      <c r="E74" s="7"/>
      <c r="F74" s="7" t="s">
        <v>1691</v>
      </c>
      <c r="G74" s="7" t="s">
        <v>1691</v>
      </c>
      <c r="H74" s="7" t="s">
        <v>1691</v>
      </c>
      <c r="I74" s="7" t="s">
        <v>1691</v>
      </c>
      <c r="J74" s="7" t="s">
        <v>1691</v>
      </c>
      <c r="K74" s="7" t="s">
        <v>1691</v>
      </c>
      <c r="L74" s="7" t="s">
        <v>1691</v>
      </c>
      <c r="M74" s="7" t="s">
        <v>1691</v>
      </c>
      <c r="N74" s="7" t="s">
        <v>1691</v>
      </c>
      <c r="O74" s="5" t="s">
        <v>68</v>
      </c>
      <c r="P74" s="45">
        <v>464.43</v>
      </c>
      <c r="Q74" s="47">
        <f t="shared" si="0"/>
        <v>494.07447401399997</v>
      </c>
      <c r="R74" s="4">
        <v>180</v>
      </c>
      <c r="S74" s="4">
        <v>12</v>
      </c>
    </row>
    <row r="75" spans="2:19" ht="11.25" x14ac:dyDescent="0.15">
      <c r="B75" s="3">
        <v>4218628</v>
      </c>
      <c r="C75" s="4">
        <v>64</v>
      </c>
      <c r="D75" s="6">
        <v>583</v>
      </c>
      <c r="E75" s="7"/>
      <c r="F75" s="7" t="s">
        <v>1691</v>
      </c>
      <c r="G75" s="7" t="s">
        <v>1691</v>
      </c>
      <c r="H75" s="7" t="s">
        <v>1691</v>
      </c>
      <c r="I75" s="7" t="s">
        <v>1691</v>
      </c>
      <c r="J75" s="7" t="s">
        <v>1691</v>
      </c>
      <c r="K75" s="7" t="s">
        <v>1691</v>
      </c>
      <c r="L75" s="7" t="s">
        <v>1691</v>
      </c>
      <c r="M75" s="7" t="s">
        <v>1691</v>
      </c>
      <c r="N75" s="7" t="s">
        <v>1691</v>
      </c>
      <c r="O75" s="5" t="s">
        <v>69</v>
      </c>
      <c r="P75" s="45">
        <v>232.22</v>
      </c>
      <c r="Q75" s="47">
        <f t="shared" si="0"/>
        <v>247.04255615599999</v>
      </c>
      <c r="R75" s="4">
        <v>180</v>
      </c>
      <c r="S75" s="4">
        <v>12</v>
      </c>
    </row>
    <row r="76" spans="2:19" ht="11.25" x14ac:dyDescent="0.15">
      <c r="B76" s="3">
        <v>4218629</v>
      </c>
      <c r="C76" s="4">
        <v>65</v>
      </c>
      <c r="D76" s="6">
        <v>141</v>
      </c>
      <c r="E76" s="7"/>
      <c r="F76" s="7" t="s">
        <v>1691</v>
      </c>
      <c r="G76" s="7" t="s">
        <v>1691</v>
      </c>
      <c r="H76" s="7" t="s">
        <v>1691</v>
      </c>
      <c r="I76" s="7" t="s">
        <v>1691</v>
      </c>
      <c r="J76" s="7" t="s">
        <v>1691</v>
      </c>
      <c r="K76" s="7" t="s">
        <v>1691</v>
      </c>
      <c r="L76" s="7" t="s">
        <v>1691</v>
      </c>
      <c r="M76" s="7" t="s">
        <v>1691</v>
      </c>
      <c r="N76" s="7" t="s">
        <v>1691</v>
      </c>
      <c r="O76" s="5" t="s">
        <v>70</v>
      </c>
      <c r="P76" s="45">
        <v>464.31</v>
      </c>
      <c r="Q76" s="47">
        <f t="shared" si="0"/>
        <v>493.94681443799999</v>
      </c>
      <c r="R76" s="4">
        <v>180</v>
      </c>
      <c r="S76" s="4">
        <v>12</v>
      </c>
    </row>
    <row r="77" spans="2:19" ht="11.25" x14ac:dyDescent="0.15">
      <c r="B77" s="3">
        <v>4218630</v>
      </c>
      <c r="C77" s="4">
        <v>66</v>
      </c>
      <c r="D77" s="6">
        <v>780</v>
      </c>
      <c r="E77" s="7"/>
      <c r="F77" s="7" t="s">
        <v>1691</v>
      </c>
      <c r="G77" s="7"/>
      <c r="H77" s="7"/>
      <c r="I77" s="7"/>
      <c r="J77" s="7"/>
      <c r="K77" s="7"/>
      <c r="L77" s="7"/>
      <c r="M77" s="7"/>
      <c r="N77" s="7"/>
      <c r="O77" s="5" t="s">
        <v>71</v>
      </c>
      <c r="P77" s="45">
        <v>5402.89</v>
      </c>
      <c r="Q77" s="47">
        <f t="shared" si="0"/>
        <v>5747.7553881220001</v>
      </c>
      <c r="R77" s="4">
        <v>180</v>
      </c>
      <c r="S77" s="4">
        <v>12</v>
      </c>
    </row>
    <row r="78" spans="2:19" ht="11.25" x14ac:dyDescent="0.15">
      <c r="B78" s="3">
        <v>4218631</v>
      </c>
      <c r="C78" s="4">
        <v>67</v>
      </c>
      <c r="D78" s="6">
        <v>781</v>
      </c>
      <c r="E78" s="7"/>
      <c r="F78" s="7"/>
      <c r="G78" s="7" t="s">
        <v>1691</v>
      </c>
      <c r="H78" s="7"/>
      <c r="I78" s="7"/>
      <c r="J78" s="7"/>
      <c r="K78" s="7"/>
      <c r="L78" s="7"/>
      <c r="M78" s="7" t="s">
        <v>1691</v>
      </c>
      <c r="N78" s="7"/>
      <c r="O78" s="5" t="s">
        <v>72</v>
      </c>
      <c r="P78" s="45">
        <v>8104.31</v>
      </c>
      <c r="Q78" s="47">
        <f t="shared" si="0"/>
        <v>8621.6064864380005</v>
      </c>
      <c r="R78" s="4">
        <v>180</v>
      </c>
      <c r="S78" s="4">
        <v>12</v>
      </c>
    </row>
    <row r="79" spans="2:19" ht="11.25" x14ac:dyDescent="0.15">
      <c r="B79" s="3">
        <v>4218632</v>
      </c>
      <c r="C79" s="4">
        <v>68</v>
      </c>
      <c r="D79" s="6">
        <v>782</v>
      </c>
      <c r="E79" s="7"/>
      <c r="F79" s="7"/>
      <c r="G79" s="7"/>
      <c r="H79" s="7" t="s">
        <v>1691</v>
      </c>
      <c r="I79" s="7"/>
      <c r="J79" s="7"/>
      <c r="K79" s="7"/>
      <c r="L79" s="7"/>
      <c r="M79" s="7"/>
      <c r="N79" s="7" t="s">
        <v>1691</v>
      </c>
      <c r="O79" s="5" t="s">
        <v>73</v>
      </c>
      <c r="P79" s="45">
        <v>9004.7999999999993</v>
      </c>
      <c r="Q79" s="47">
        <f t="shared" si="0"/>
        <v>9579.5745830399992</v>
      </c>
      <c r="R79" s="4">
        <v>180</v>
      </c>
      <c r="S79" s="4">
        <v>12</v>
      </c>
    </row>
    <row r="80" spans="2:19" ht="11.25" x14ac:dyDescent="0.15">
      <c r="B80" s="3">
        <v>4218633</v>
      </c>
      <c r="C80" s="4">
        <v>69</v>
      </c>
      <c r="D80" s="6">
        <v>783</v>
      </c>
      <c r="E80" s="7"/>
      <c r="F80" s="7"/>
      <c r="G80" s="7"/>
      <c r="H80" s="7"/>
      <c r="I80" s="7" t="s">
        <v>1691</v>
      </c>
      <c r="J80" s="7"/>
      <c r="K80" s="7"/>
      <c r="L80" s="7"/>
      <c r="M80" s="7"/>
      <c r="N80" s="7"/>
      <c r="O80" s="5" t="s">
        <v>74</v>
      </c>
      <c r="P80" s="45">
        <v>4052.16</v>
      </c>
      <c r="Q80" s="47">
        <f t="shared" ref="Q80:Q143" si="1">P80*1.0638298</f>
        <v>4310.8085623679999</v>
      </c>
      <c r="R80" s="4">
        <v>180</v>
      </c>
      <c r="S80" s="4">
        <v>12</v>
      </c>
    </row>
    <row r="81" spans="2:19" ht="11.25" x14ac:dyDescent="0.15">
      <c r="B81" s="3">
        <v>4218634</v>
      </c>
      <c r="C81" s="4">
        <v>70</v>
      </c>
      <c r="D81" s="6">
        <v>784</v>
      </c>
      <c r="E81" s="7"/>
      <c r="F81" s="7"/>
      <c r="G81" s="7"/>
      <c r="H81" s="7"/>
      <c r="I81" s="7"/>
      <c r="J81" s="7" t="s">
        <v>1691</v>
      </c>
      <c r="K81" s="7" t="s">
        <v>1691</v>
      </c>
      <c r="L81" s="7" t="s">
        <v>1691</v>
      </c>
      <c r="M81" s="7"/>
      <c r="N81" s="7"/>
      <c r="O81" s="5" t="s">
        <v>75</v>
      </c>
      <c r="P81" s="45">
        <v>7203.85</v>
      </c>
      <c r="Q81" s="47">
        <f t="shared" si="1"/>
        <v>7663.6703047299998</v>
      </c>
      <c r="R81" s="4">
        <v>180</v>
      </c>
      <c r="S81" s="4">
        <v>12</v>
      </c>
    </row>
    <row r="82" spans="2:19" ht="11.25" x14ac:dyDescent="0.15">
      <c r="B82" s="3">
        <v>4218635</v>
      </c>
      <c r="C82" s="4">
        <v>71</v>
      </c>
      <c r="D82" s="6">
        <v>776</v>
      </c>
      <c r="E82" s="7"/>
      <c r="F82" s="7" t="s">
        <v>1691</v>
      </c>
      <c r="G82" s="7"/>
      <c r="H82" s="7"/>
      <c r="I82" s="7" t="s">
        <v>1691</v>
      </c>
      <c r="J82" s="7"/>
      <c r="K82" s="7"/>
      <c r="L82" s="7"/>
      <c r="M82" s="7"/>
      <c r="N82" s="7"/>
      <c r="O82" s="5" t="s">
        <v>76</v>
      </c>
      <c r="P82" s="45">
        <v>649.76</v>
      </c>
      <c r="Q82" s="47">
        <f t="shared" si="1"/>
        <v>691.23405084799992</v>
      </c>
      <c r="R82" s="4">
        <v>180</v>
      </c>
      <c r="S82" s="4">
        <v>12</v>
      </c>
    </row>
    <row r="83" spans="2:19" ht="11.25" x14ac:dyDescent="0.15">
      <c r="B83" s="3">
        <v>4218636</v>
      </c>
      <c r="C83" s="4">
        <v>72</v>
      </c>
      <c r="D83" s="6">
        <v>777</v>
      </c>
      <c r="E83" s="7"/>
      <c r="F83" s="7"/>
      <c r="G83" s="7" t="s">
        <v>1691</v>
      </c>
      <c r="H83" s="7"/>
      <c r="I83" s="7"/>
      <c r="J83" s="7"/>
      <c r="K83" s="7"/>
      <c r="L83" s="7"/>
      <c r="M83" s="7" t="s">
        <v>1691</v>
      </c>
      <c r="N83" s="7"/>
      <c r="O83" s="5" t="s">
        <v>77</v>
      </c>
      <c r="P83" s="45">
        <v>1170.25</v>
      </c>
      <c r="Q83" s="47">
        <f t="shared" si="1"/>
        <v>1244.94682345</v>
      </c>
      <c r="R83" s="4">
        <v>180</v>
      </c>
      <c r="S83" s="4">
        <v>12</v>
      </c>
    </row>
    <row r="84" spans="2:19" ht="11.25" x14ac:dyDescent="0.15">
      <c r="B84" s="3">
        <v>4218637</v>
      </c>
      <c r="C84" s="4">
        <v>73</v>
      </c>
      <c r="D84" s="6">
        <v>778</v>
      </c>
      <c r="E84" s="7"/>
      <c r="F84" s="7"/>
      <c r="G84" s="7"/>
      <c r="H84" s="7" t="s">
        <v>1691</v>
      </c>
      <c r="I84" s="7"/>
      <c r="J84" s="7"/>
      <c r="K84" s="7"/>
      <c r="L84" s="7"/>
      <c r="M84" s="7"/>
      <c r="N84" s="7" t="s">
        <v>1691</v>
      </c>
      <c r="O84" s="5" t="s">
        <v>78</v>
      </c>
      <c r="P84" s="45">
        <v>1267.57</v>
      </c>
      <c r="Q84" s="47">
        <f t="shared" si="1"/>
        <v>1348.4787395859998</v>
      </c>
      <c r="R84" s="4">
        <v>180</v>
      </c>
      <c r="S84" s="4">
        <v>12</v>
      </c>
    </row>
    <row r="85" spans="2:19" ht="11.25" x14ac:dyDescent="0.15">
      <c r="B85" s="3">
        <v>4218638</v>
      </c>
      <c r="C85" s="4">
        <v>74</v>
      </c>
      <c r="D85" s="6">
        <v>779</v>
      </c>
      <c r="E85" s="7"/>
      <c r="F85" s="7"/>
      <c r="G85" s="7"/>
      <c r="H85" s="7"/>
      <c r="I85" s="7"/>
      <c r="J85" s="7" t="s">
        <v>1691</v>
      </c>
      <c r="K85" s="7" t="s">
        <v>1691</v>
      </c>
      <c r="L85" s="7" t="s">
        <v>1691</v>
      </c>
      <c r="M85" s="7"/>
      <c r="N85" s="7"/>
      <c r="O85" s="5" t="s">
        <v>79</v>
      </c>
      <c r="P85" s="45">
        <v>815.16</v>
      </c>
      <c r="Q85" s="47">
        <f t="shared" si="1"/>
        <v>867.19149976799986</v>
      </c>
      <c r="R85" s="4">
        <v>180</v>
      </c>
      <c r="S85" s="4">
        <v>12</v>
      </c>
    </row>
    <row r="86" spans="2:19" ht="11.25" x14ac:dyDescent="0.15">
      <c r="B86" s="3">
        <v>4218639</v>
      </c>
      <c r="C86" s="4">
        <v>75</v>
      </c>
      <c r="D86" s="6">
        <v>146</v>
      </c>
      <c r="E86" s="7"/>
      <c r="F86" s="7" t="s">
        <v>1691</v>
      </c>
      <c r="G86" s="7" t="s">
        <v>1691</v>
      </c>
      <c r="H86" s="7" t="s">
        <v>1691</v>
      </c>
      <c r="I86" s="7" t="s">
        <v>1691</v>
      </c>
      <c r="J86" s="7" t="s">
        <v>1691</v>
      </c>
      <c r="K86" s="7" t="s">
        <v>1691</v>
      </c>
      <c r="L86" s="7" t="s">
        <v>1691</v>
      </c>
      <c r="M86" s="7" t="s">
        <v>1691</v>
      </c>
      <c r="N86" s="7" t="s">
        <v>1691</v>
      </c>
      <c r="O86" s="5" t="s">
        <v>80</v>
      </c>
      <c r="P86" s="45">
        <v>558.72</v>
      </c>
      <c r="Q86" s="47">
        <f t="shared" si="1"/>
        <v>594.382985856</v>
      </c>
      <c r="R86" s="4">
        <v>180</v>
      </c>
      <c r="S86" s="4">
        <v>12</v>
      </c>
    </row>
    <row r="87" spans="2:19" ht="11.25" x14ac:dyDescent="0.15">
      <c r="B87" s="3">
        <v>4218640</v>
      </c>
      <c r="C87" s="4">
        <v>76</v>
      </c>
      <c r="D87" s="6">
        <v>152</v>
      </c>
      <c r="E87" s="7"/>
      <c r="F87" s="7" t="s">
        <v>1691</v>
      </c>
      <c r="G87" s="7" t="s">
        <v>1691</v>
      </c>
      <c r="H87" s="7" t="s">
        <v>1691</v>
      </c>
      <c r="I87" s="7" t="s">
        <v>1691</v>
      </c>
      <c r="J87" s="7" t="s">
        <v>1691</v>
      </c>
      <c r="K87" s="7" t="s">
        <v>1691</v>
      </c>
      <c r="L87" s="7" t="s">
        <v>1691</v>
      </c>
      <c r="M87" s="7" t="s">
        <v>1691</v>
      </c>
      <c r="N87" s="7" t="s">
        <v>1691</v>
      </c>
      <c r="O87" s="5" t="s">
        <v>81</v>
      </c>
      <c r="P87" s="45">
        <v>464.31</v>
      </c>
      <c r="Q87" s="47">
        <f t="shared" si="1"/>
        <v>493.94681443799999</v>
      </c>
      <c r="R87" s="4">
        <v>180</v>
      </c>
      <c r="S87" s="4">
        <v>12</v>
      </c>
    </row>
    <row r="88" spans="2:19" ht="11.25" x14ac:dyDescent="0.15">
      <c r="B88" s="3">
        <v>4218641</v>
      </c>
      <c r="C88" s="4">
        <v>77</v>
      </c>
      <c r="D88" s="6">
        <v>154</v>
      </c>
      <c r="E88" s="7"/>
      <c r="F88" s="7" t="s">
        <v>1691</v>
      </c>
      <c r="G88" s="7" t="s">
        <v>1691</v>
      </c>
      <c r="H88" s="7" t="s">
        <v>1691</v>
      </c>
      <c r="I88" s="7" t="s">
        <v>1691</v>
      </c>
      <c r="J88" s="7" t="s">
        <v>1691</v>
      </c>
      <c r="K88" s="7" t="s">
        <v>1691</v>
      </c>
      <c r="L88" s="7" t="s">
        <v>1691</v>
      </c>
      <c r="M88" s="7" t="s">
        <v>1691</v>
      </c>
      <c r="N88" s="7" t="s">
        <v>1691</v>
      </c>
      <c r="O88" s="5" t="s">
        <v>82</v>
      </c>
      <c r="P88" s="45">
        <v>464.31</v>
      </c>
      <c r="Q88" s="47">
        <f t="shared" si="1"/>
        <v>493.94681443799999</v>
      </c>
      <c r="R88" s="4">
        <v>180</v>
      </c>
      <c r="S88" s="4">
        <v>12</v>
      </c>
    </row>
    <row r="89" spans="2:19" ht="11.25" x14ac:dyDescent="0.15">
      <c r="B89" s="3">
        <v>4218642</v>
      </c>
      <c r="C89" s="4">
        <v>78</v>
      </c>
      <c r="D89" s="6">
        <v>158</v>
      </c>
      <c r="E89" s="7"/>
      <c r="F89" s="7" t="s">
        <v>1691</v>
      </c>
      <c r="G89" s="7" t="s">
        <v>1691</v>
      </c>
      <c r="H89" s="7" t="s">
        <v>1691</v>
      </c>
      <c r="I89" s="7" t="s">
        <v>1691</v>
      </c>
      <c r="J89" s="7" t="s">
        <v>1691</v>
      </c>
      <c r="K89" s="7" t="s">
        <v>1691</v>
      </c>
      <c r="L89" s="7" t="s">
        <v>1691</v>
      </c>
      <c r="M89" s="7" t="s">
        <v>1691</v>
      </c>
      <c r="N89" s="7" t="s">
        <v>1691</v>
      </c>
      <c r="O89" s="5" t="s">
        <v>83</v>
      </c>
      <c r="P89" s="45">
        <v>464.31</v>
      </c>
      <c r="Q89" s="47">
        <f t="shared" si="1"/>
        <v>493.94681443799999</v>
      </c>
      <c r="R89" s="4">
        <v>180</v>
      </c>
      <c r="S89" s="4">
        <v>12</v>
      </c>
    </row>
    <row r="90" spans="2:19" ht="11.25" x14ac:dyDescent="0.15">
      <c r="B90" s="3">
        <v>4218643</v>
      </c>
      <c r="C90" s="4">
        <v>79</v>
      </c>
      <c r="D90" s="6">
        <v>162</v>
      </c>
      <c r="E90" s="7"/>
      <c r="F90" s="7" t="s">
        <v>1691</v>
      </c>
      <c r="G90" s="7" t="s">
        <v>1691</v>
      </c>
      <c r="H90" s="7" t="s">
        <v>1691</v>
      </c>
      <c r="I90" s="7" t="s">
        <v>1691</v>
      </c>
      <c r="J90" s="7" t="s">
        <v>1691</v>
      </c>
      <c r="K90" s="7" t="s">
        <v>1691</v>
      </c>
      <c r="L90" s="7" t="s">
        <v>1691</v>
      </c>
      <c r="M90" s="7" t="s">
        <v>1691</v>
      </c>
      <c r="N90" s="7" t="s">
        <v>1691</v>
      </c>
      <c r="O90" s="5" t="s">
        <v>84</v>
      </c>
      <c r="P90" s="45">
        <v>464.31</v>
      </c>
      <c r="Q90" s="47">
        <f t="shared" si="1"/>
        <v>493.94681443799999</v>
      </c>
      <c r="R90" s="4">
        <v>180</v>
      </c>
      <c r="S90" s="4">
        <v>12</v>
      </c>
    </row>
    <row r="91" spans="2:19" ht="11.25" x14ac:dyDescent="0.15">
      <c r="B91" s="3">
        <v>4218644</v>
      </c>
      <c r="C91" s="4">
        <v>80</v>
      </c>
      <c r="D91" s="6">
        <v>166</v>
      </c>
      <c r="E91" s="7"/>
      <c r="F91" s="7" t="s">
        <v>1691</v>
      </c>
      <c r="G91" s="7" t="s">
        <v>1691</v>
      </c>
      <c r="H91" s="7" t="s">
        <v>1691</v>
      </c>
      <c r="I91" s="7" t="s">
        <v>1691</v>
      </c>
      <c r="J91" s="7" t="s">
        <v>1691</v>
      </c>
      <c r="K91" s="7" t="s">
        <v>1691</v>
      </c>
      <c r="L91" s="7" t="s">
        <v>1691</v>
      </c>
      <c r="M91" s="7" t="s">
        <v>1691</v>
      </c>
      <c r="N91" s="7" t="s">
        <v>1691</v>
      </c>
      <c r="O91" s="5" t="s">
        <v>85</v>
      </c>
      <c r="P91" s="45">
        <v>464.31</v>
      </c>
      <c r="Q91" s="47">
        <f t="shared" si="1"/>
        <v>493.94681443799999</v>
      </c>
      <c r="R91" s="4">
        <v>180</v>
      </c>
      <c r="S91" s="4">
        <v>12</v>
      </c>
    </row>
    <row r="92" spans="2:19" ht="11.25" x14ac:dyDescent="0.15">
      <c r="B92" s="3">
        <v>4218645</v>
      </c>
      <c r="C92" s="4">
        <v>81</v>
      </c>
      <c r="D92" s="6">
        <v>170</v>
      </c>
      <c r="E92" s="7"/>
      <c r="F92" s="7" t="s">
        <v>1691</v>
      </c>
      <c r="G92" s="7"/>
      <c r="H92" s="7"/>
      <c r="I92" s="7" t="s">
        <v>1691</v>
      </c>
      <c r="J92" s="7" t="s">
        <v>1691</v>
      </c>
      <c r="K92" s="7"/>
      <c r="L92" s="7"/>
      <c r="M92" s="7"/>
      <c r="N92" s="7"/>
      <c r="O92" s="5" t="s">
        <v>86</v>
      </c>
      <c r="P92" s="45">
        <v>1076.72</v>
      </c>
      <c r="Q92" s="47">
        <f t="shared" si="1"/>
        <v>1145.4468222559999</v>
      </c>
      <c r="R92" s="4">
        <v>180</v>
      </c>
      <c r="S92" s="4">
        <v>12</v>
      </c>
    </row>
    <row r="93" spans="2:19" ht="11.25" x14ac:dyDescent="0.15">
      <c r="B93" s="3">
        <v>4218646</v>
      </c>
      <c r="C93" s="4">
        <v>82</v>
      </c>
      <c r="D93" s="6">
        <v>171</v>
      </c>
      <c r="E93" s="7"/>
      <c r="F93" s="7" t="s">
        <v>1691</v>
      </c>
      <c r="G93" s="7"/>
      <c r="H93" s="7"/>
      <c r="I93" s="7" t="s">
        <v>1691</v>
      </c>
      <c r="J93" s="7" t="s">
        <v>1691</v>
      </c>
      <c r="K93" s="7"/>
      <c r="L93" s="7"/>
      <c r="M93" s="7"/>
      <c r="N93" s="7"/>
      <c r="O93" s="5" t="s">
        <v>87</v>
      </c>
      <c r="P93" s="45">
        <v>3037.35</v>
      </c>
      <c r="Q93" s="47">
        <f t="shared" si="1"/>
        <v>3231.2234430299995</v>
      </c>
      <c r="R93" s="4">
        <v>180</v>
      </c>
      <c r="S93" s="4">
        <v>12</v>
      </c>
    </row>
    <row r="94" spans="2:19" ht="11.25" x14ac:dyDescent="0.15">
      <c r="B94" s="3">
        <v>4218647</v>
      </c>
      <c r="C94" s="4">
        <v>83</v>
      </c>
      <c r="D94" s="6">
        <v>748</v>
      </c>
      <c r="E94" s="7"/>
      <c r="F94" s="7" t="s">
        <v>1691</v>
      </c>
      <c r="G94" s="7"/>
      <c r="H94" s="7"/>
      <c r="I94" s="7" t="s">
        <v>1691</v>
      </c>
      <c r="J94" s="7" t="s">
        <v>1691</v>
      </c>
      <c r="K94" s="7" t="s">
        <v>1691</v>
      </c>
      <c r="L94" s="7"/>
      <c r="M94" s="7"/>
      <c r="N94" s="7"/>
      <c r="O94" s="5" t="s">
        <v>88</v>
      </c>
      <c r="P94" s="45">
        <v>325.02</v>
      </c>
      <c r="Q94" s="47">
        <f t="shared" si="1"/>
        <v>345.76596159599995</v>
      </c>
      <c r="R94" s="4">
        <v>180</v>
      </c>
      <c r="S94" s="4">
        <v>12</v>
      </c>
    </row>
    <row r="95" spans="2:19" ht="11.25" x14ac:dyDescent="0.15">
      <c r="B95" s="3">
        <v>4218648</v>
      </c>
      <c r="C95" s="4">
        <v>84</v>
      </c>
      <c r="D95" s="6">
        <v>172</v>
      </c>
      <c r="E95" s="7"/>
      <c r="F95" s="7" t="s">
        <v>1691</v>
      </c>
      <c r="G95" s="7"/>
      <c r="H95" s="7"/>
      <c r="I95" s="7" t="s">
        <v>1691</v>
      </c>
      <c r="J95" s="7" t="s">
        <v>1691</v>
      </c>
      <c r="K95" s="7" t="s">
        <v>1691</v>
      </c>
      <c r="L95" s="7"/>
      <c r="M95" s="7"/>
      <c r="N95" s="7"/>
      <c r="O95" s="5" t="s">
        <v>89</v>
      </c>
      <c r="P95" s="45">
        <v>0</v>
      </c>
      <c r="Q95" s="47">
        <f t="shared" si="1"/>
        <v>0</v>
      </c>
      <c r="R95" s="4">
        <v>180</v>
      </c>
      <c r="S95" s="4">
        <v>12</v>
      </c>
    </row>
    <row r="96" spans="2:19" ht="11.25" x14ac:dyDescent="0.15">
      <c r="B96" s="3">
        <v>4218649</v>
      </c>
      <c r="C96" s="4">
        <v>85</v>
      </c>
      <c r="D96" s="6">
        <v>174</v>
      </c>
      <c r="E96" s="7" t="s">
        <v>91</v>
      </c>
      <c r="F96" s="7" t="s">
        <v>1691</v>
      </c>
      <c r="G96" s="7"/>
      <c r="H96" s="7"/>
      <c r="I96" s="7" t="s">
        <v>1691</v>
      </c>
      <c r="J96" s="7" t="s">
        <v>1691</v>
      </c>
      <c r="K96" s="7" t="s">
        <v>1691</v>
      </c>
      <c r="L96" s="7"/>
      <c r="M96" s="7"/>
      <c r="N96" s="7"/>
      <c r="O96" s="5" t="s">
        <v>90</v>
      </c>
      <c r="P96" s="45">
        <v>186.3</v>
      </c>
      <c r="Q96" s="47">
        <f t="shared" si="1"/>
        <v>198.19149174</v>
      </c>
      <c r="R96" s="4">
        <v>180</v>
      </c>
      <c r="S96" s="4">
        <v>12</v>
      </c>
    </row>
    <row r="97" spans="2:19" ht="11.25" x14ac:dyDescent="0.15">
      <c r="B97" s="3">
        <v>4218650</v>
      </c>
      <c r="C97" s="4">
        <v>86</v>
      </c>
      <c r="D97" s="6">
        <v>785</v>
      </c>
      <c r="E97" s="7"/>
      <c r="F97" s="7"/>
      <c r="G97" s="7" t="s">
        <v>1691</v>
      </c>
      <c r="H97" s="7" t="s">
        <v>1691</v>
      </c>
      <c r="I97" s="7"/>
      <c r="J97" s="7"/>
      <c r="K97" s="7"/>
      <c r="L97" s="7"/>
      <c r="M97" s="7"/>
      <c r="N97" s="7"/>
      <c r="O97" s="5" t="s">
        <v>92</v>
      </c>
      <c r="P97" s="45">
        <v>5902.93</v>
      </c>
      <c r="Q97" s="47">
        <f t="shared" si="1"/>
        <v>6279.7128413139999</v>
      </c>
      <c r="R97" s="4">
        <v>180</v>
      </c>
      <c r="S97" s="4">
        <v>12</v>
      </c>
    </row>
    <row r="98" spans="2:19" ht="11.25" x14ac:dyDescent="0.15">
      <c r="B98" s="3">
        <v>4218651</v>
      </c>
      <c r="C98" s="4">
        <v>87</v>
      </c>
      <c r="D98" s="6">
        <v>175</v>
      </c>
      <c r="E98" s="7"/>
      <c r="F98" s="7" t="s">
        <v>1691</v>
      </c>
      <c r="G98" s="7"/>
      <c r="H98" s="7"/>
      <c r="I98" s="7" t="s">
        <v>1691</v>
      </c>
      <c r="J98" s="7" t="s">
        <v>1691</v>
      </c>
      <c r="K98" s="7" t="s">
        <v>1691</v>
      </c>
      <c r="L98" s="7"/>
      <c r="M98" s="7"/>
      <c r="N98" s="7"/>
      <c r="O98" s="5" t="s">
        <v>93</v>
      </c>
      <c r="P98" s="45">
        <v>166.38</v>
      </c>
      <c r="Q98" s="47">
        <f t="shared" si="1"/>
        <v>177.00000212399999</v>
      </c>
      <c r="R98" s="4">
        <v>180</v>
      </c>
      <c r="S98" s="4">
        <v>12</v>
      </c>
    </row>
    <row r="99" spans="2:19" ht="11.25" x14ac:dyDescent="0.15">
      <c r="B99" s="3">
        <v>4218652</v>
      </c>
      <c r="C99" s="4">
        <v>88</v>
      </c>
      <c r="D99" s="6">
        <v>176</v>
      </c>
      <c r="E99" s="7"/>
      <c r="F99" s="7" t="s">
        <v>1691</v>
      </c>
      <c r="G99" s="7"/>
      <c r="H99" s="7"/>
      <c r="I99" s="7" t="s">
        <v>1691</v>
      </c>
      <c r="J99" s="7" t="s">
        <v>1691</v>
      </c>
      <c r="K99" s="7" t="s">
        <v>1691</v>
      </c>
      <c r="L99" s="7"/>
      <c r="M99" s="7"/>
      <c r="N99" s="7"/>
      <c r="O99" s="5" t="s">
        <v>94</v>
      </c>
      <c r="P99" s="45">
        <v>442.57</v>
      </c>
      <c r="Q99" s="47">
        <f t="shared" si="1"/>
        <v>470.81915458599997</v>
      </c>
      <c r="R99" s="4">
        <v>180</v>
      </c>
      <c r="S99" s="4">
        <v>12</v>
      </c>
    </row>
    <row r="100" spans="2:19" ht="11.25" x14ac:dyDescent="0.15">
      <c r="B100" s="3">
        <v>4218653</v>
      </c>
      <c r="C100" s="4">
        <v>89</v>
      </c>
      <c r="D100" s="6">
        <v>184</v>
      </c>
      <c r="E100" s="7"/>
      <c r="F100" s="7" t="s">
        <v>1691</v>
      </c>
      <c r="G100" s="7" t="s">
        <v>1691</v>
      </c>
      <c r="H100" s="7" t="s">
        <v>1691</v>
      </c>
      <c r="I100" s="7" t="s">
        <v>1691</v>
      </c>
      <c r="J100" s="7" t="s">
        <v>1691</v>
      </c>
      <c r="K100" s="7" t="s">
        <v>1691</v>
      </c>
      <c r="L100" s="7" t="s">
        <v>1691</v>
      </c>
      <c r="M100" s="7" t="s">
        <v>1691</v>
      </c>
      <c r="N100" s="7" t="s">
        <v>1691</v>
      </c>
      <c r="O100" s="5" t="s">
        <v>95</v>
      </c>
      <c r="P100" s="45">
        <v>309.54000000000002</v>
      </c>
      <c r="Q100" s="47">
        <f t="shared" si="1"/>
        <v>329.29787629200001</v>
      </c>
      <c r="R100" s="4">
        <v>180</v>
      </c>
      <c r="S100" s="4">
        <v>12</v>
      </c>
    </row>
    <row r="101" spans="2:19" ht="11.25" x14ac:dyDescent="0.15">
      <c r="B101" s="3">
        <v>4218654</v>
      </c>
      <c r="C101" s="4">
        <v>90</v>
      </c>
      <c r="D101" s="6">
        <v>185</v>
      </c>
      <c r="E101" s="7"/>
      <c r="F101" s="7" t="s">
        <v>1691</v>
      </c>
      <c r="G101" s="7"/>
      <c r="H101" s="7"/>
      <c r="I101" s="7" t="s">
        <v>1691</v>
      </c>
      <c r="J101" s="7"/>
      <c r="K101" s="7"/>
      <c r="L101" s="7"/>
      <c r="M101" s="7"/>
      <c r="N101" s="7"/>
      <c r="O101" s="5" t="s">
        <v>96</v>
      </c>
      <c r="P101" s="45">
        <v>208.94</v>
      </c>
      <c r="Q101" s="47">
        <f t="shared" si="1"/>
        <v>222.276598412</v>
      </c>
      <c r="R101" s="4">
        <v>180</v>
      </c>
      <c r="S101" s="4">
        <v>12</v>
      </c>
    </row>
    <row r="102" spans="2:19" ht="11.25" x14ac:dyDescent="0.15">
      <c r="B102" s="3">
        <v>4218655</v>
      </c>
      <c r="C102" s="4">
        <v>91</v>
      </c>
      <c r="D102" s="6">
        <v>602</v>
      </c>
      <c r="E102" s="7"/>
      <c r="F102" s="7"/>
      <c r="G102" s="7" t="s">
        <v>1691</v>
      </c>
      <c r="H102" s="7" t="s">
        <v>1691</v>
      </c>
      <c r="I102" s="7"/>
      <c r="J102" s="7" t="s">
        <v>1691</v>
      </c>
      <c r="K102" s="7" t="s">
        <v>1691</v>
      </c>
      <c r="L102" s="7" t="s">
        <v>1691</v>
      </c>
      <c r="M102" s="7" t="s">
        <v>1691</v>
      </c>
      <c r="N102" s="7" t="s">
        <v>1691</v>
      </c>
      <c r="O102" s="5" t="s">
        <v>97</v>
      </c>
      <c r="P102" s="45">
        <v>619.08000000000004</v>
      </c>
      <c r="Q102" s="47">
        <f t="shared" si="1"/>
        <v>658.59575258400002</v>
      </c>
      <c r="R102" s="4">
        <v>180</v>
      </c>
      <c r="S102" s="4">
        <v>12</v>
      </c>
    </row>
    <row r="103" spans="2:19" ht="11.25" x14ac:dyDescent="0.15">
      <c r="B103" s="3">
        <v>4218656</v>
      </c>
      <c r="C103" s="4">
        <v>92</v>
      </c>
      <c r="D103" s="6">
        <v>186</v>
      </c>
      <c r="E103" s="7"/>
      <c r="F103" s="7" t="s">
        <v>1691</v>
      </c>
      <c r="G103" s="7"/>
      <c r="H103" s="7"/>
      <c r="I103" s="7" t="s">
        <v>1691</v>
      </c>
      <c r="J103" s="7"/>
      <c r="K103" s="7"/>
      <c r="L103" s="7"/>
      <c r="M103" s="7"/>
      <c r="N103" s="7"/>
      <c r="O103" s="5" t="s">
        <v>98</v>
      </c>
      <c r="P103" s="45">
        <v>208.94</v>
      </c>
      <c r="Q103" s="47">
        <f t="shared" si="1"/>
        <v>222.276598412</v>
      </c>
      <c r="R103" s="4">
        <v>180</v>
      </c>
      <c r="S103" s="4">
        <v>12</v>
      </c>
    </row>
    <row r="104" spans="2:19" ht="11.25" x14ac:dyDescent="0.15">
      <c r="B104" s="3">
        <v>4218657</v>
      </c>
      <c r="C104" s="4">
        <v>93</v>
      </c>
      <c r="D104" s="6">
        <v>603</v>
      </c>
      <c r="E104" s="7"/>
      <c r="F104" s="7"/>
      <c r="G104" s="7" t="s">
        <v>1691</v>
      </c>
      <c r="H104" s="7" t="s">
        <v>1691</v>
      </c>
      <c r="I104" s="7"/>
      <c r="J104" s="7" t="s">
        <v>1691</v>
      </c>
      <c r="K104" s="7" t="s">
        <v>1691</v>
      </c>
      <c r="L104" s="7" t="s">
        <v>1691</v>
      </c>
      <c r="M104" s="7" t="s">
        <v>1691</v>
      </c>
      <c r="N104" s="7" t="s">
        <v>1691</v>
      </c>
      <c r="O104" s="5" t="s">
        <v>99</v>
      </c>
      <c r="P104" s="45">
        <v>619.08000000000004</v>
      </c>
      <c r="Q104" s="47">
        <f t="shared" si="1"/>
        <v>658.59575258400002</v>
      </c>
      <c r="R104" s="4">
        <v>180</v>
      </c>
      <c r="S104" s="4">
        <v>12</v>
      </c>
    </row>
    <row r="105" spans="2:19" ht="11.25" x14ac:dyDescent="0.15">
      <c r="B105" s="3">
        <v>4218658</v>
      </c>
      <c r="C105" s="4">
        <v>94</v>
      </c>
      <c r="D105" s="6">
        <v>187</v>
      </c>
      <c r="E105" s="7"/>
      <c r="F105" s="7" t="s">
        <v>1691</v>
      </c>
      <c r="G105" s="7"/>
      <c r="H105" s="7"/>
      <c r="I105" s="7" t="s">
        <v>1691</v>
      </c>
      <c r="J105" s="7"/>
      <c r="K105" s="7"/>
      <c r="L105" s="7"/>
      <c r="M105" s="7"/>
      <c r="N105" s="7"/>
      <c r="O105" s="5" t="s">
        <v>100</v>
      </c>
      <c r="P105" s="45">
        <v>414.01</v>
      </c>
      <c r="Q105" s="47">
        <f t="shared" si="1"/>
        <v>440.43617549799995</v>
      </c>
      <c r="R105" s="4">
        <v>180</v>
      </c>
      <c r="S105" s="4">
        <v>12</v>
      </c>
    </row>
    <row r="106" spans="2:19" ht="11.25" x14ac:dyDescent="0.15">
      <c r="B106" s="3">
        <v>4218659</v>
      </c>
      <c r="C106" s="4">
        <v>95</v>
      </c>
      <c r="D106" s="6">
        <v>604</v>
      </c>
      <c r="E106" s="7"/>
      <c r="F106" s="7"/>
      <c r="G106" s="7" t="s">
        <v>1691</v>
      </c>
      <c r="H106" s="7" t="s">
        <v>1691</v>
      </c>
      <c r="I106" s="7"/>
      <c r="J106" s="7" t="s">
        <v>1691</v>
      </c>
      <c r="K106" s="7" t="s">
        <v>1691</v>
      </c>
      <c r="L106" s="7" t="s">
        <v>1691</v>
      </c>
      <c r="M106" s="7" t="s">
        <v>1691</v>
      </c>
      <c r="N106" s="7" t="s">
        <v>1691</v>
      </c>
      <c r="O106" s="5" t="s">
        <v>101</v>
      </c>
      <c r="P106" s="45">
        <v>619.08000000000004</v>
      </c>
      <c r="Q106" s="47">
        <f t="shared" si="1"/>
        <v>658.59575258400002</v>
      </c>
      <c r="R106" s="4">
        <v>180</v>
      </c>
      <c r="S106" s="4">
        <v>12</v>
      </c>
    </row>
    <row r="107" spans="2:19" ht="11.25" x14ac:dyDescent="0.15">
      <c r="B107" s="3">
        <v>4218660</v>
      </c>
      <c r="C107" s="4">
        <v>96</v>
      </c>
      <c r="D107" s="6">
        <v>188</v>
      </c>
      <c r="E107" s="7"/>
      <c r="F107" s="7" t="s">
        <v>1691</v>
      </c>
      <c r="G107" s="7"/>
      <c r="H107" s="7"/>
      <c r="I107" s="7" t="s">
        <v>1691</v>
      </c>
      <c r="J107" s="7"/>
      <c r="K107" s="7"/>
      <c r="L107" s="7"/>
      <c r="M107" s="7"/>
      <c r="N107" s="7"/>
      <c r="O107" s="5" t="s">
        <v>102</v>
      </c>
      <c r="P107" s="45">
        <v>414.01</v>
      </c>
      <c r="Q107" s="47">
        <f t="shared" si="1"/>
        <v>440.43617549799995</v>
      </c>
      <c r="R107" s="4">
        <v>180</v>
      </c>
      <c r="S107" s="4">
        <v>12</v>
      </c>
    </row>
    <row r="108" spans="2:19" ht="11.25" x14ac:dyDescent="0.15">
      <c r="B108" s="3">
        <v>4218661</v>
      </c>
      <c r="C108" s="4">
        <v>97</v>
      </c>
      <c r="D108" s="6">
        <v>605</v>
      </c>
      <c r="E108" s="7"/>
      <c r="F108" s="7"/>
      <c r="G108" s="7" t="s">
        <v>1691</v>
      </c>
      <c r="H108" s="7" t="s">
        <v>1691</v>
      </c>
      <c r="I108" s="7"/>
      <c r="J108" s="7" t="s">
        <v>1691</v>
      </c>
      <c r="K108" s="7" t="s">
        <v>1691</v>
      </c>
      <c r="L108" s="7" t="s">
        <v>1691</v>
      </c>
      <c r="M108" s="7" t="s">
        <v>1691</v>
      </c>
      <c r="N108" s="7" t="s">
        <v>1691</v>
      </c>
      <c r="O108" s="5" t="s">
        <v>103</v>
      </c>
      <c r="P108" s="45">
        <v>619.08000000000004</v>
      </c>
      <c r="Q108" s="47">
        <f t="shared" si="1"/>
        <v>658.59575258400002</v>
      </c>
      <c r="R108" s="4">
        <v>180</v>
      </c>
      <c r="S108" s="4">
        <v>12</v>
      </c>
    </row>
    <row r="109" spans="2:19" ht="11.25" x14ac:dyDescent="0.15">
      <c r="B109" s="3">
        <v>4218662</v>
      </c>
      <c r="C109" s="4">
        <v>98</v>
      </c>
      <c r="D109" s="6">
        <v>190</v>
      </c>
      <c r="E109" s="7" t="s">
        <v>105</v>
      </c>
      <c r="F109" s="7"/>
      <c r="G109" s="7" t="s">
        <v>1691</v>
      </c>
      <c r="H109" s="7" t="s">
        <v>1691</v>
      </c>
      <c r="I109" s="7"/>
      <c r="J109" s="7"/>
      <c r="K109" s="7"/>
      <c r="L109" s="7"/>
      <c r="M109" s="8" t="s">
        <v>1691</v>
      </c>
      <c r="N109" s="7" t="s">
        <v>1691</v>
      </c>
      <c r="O109" s="5" t="s">
        <v>104</v>
      </c>
      <c r="P109" s="45">
        <v>617.87</v>
      </c>
      <c r="Q109" s="47">
        <f t="shared" si="1"/>
        <v>657.30851852599994</v>
      </c>
      <c r="R109" s="4">
        <v>180</v>
      </c>
      <c r="S109" s="4">
        <v>12</v>
      </c>
    </row>
    <row r="110" spans="2:19" ht="11.25" x14ac:dyDescent="0.15">
      <c r="B110" s="3">
        <v>4218663</v>
      </c>
      <c r="C110" s="4">
        <v>99</v>
      </c>
      <c r="D110" s="6">
        <v>191</v>
      </c>
      <c r="E110" s="7" t="s">
        <v>107</v>
      </c>
      <c r="F110" s="7"/>
      <c r="G110" s="7" t="s">
        <v>1691</v>
      </c>
      <c r="H110" s="7" t="s">
        <v>1691</v>
      </c>
      <c r="I110" s="7"/>
      <c r="J110" s="7"/>
      <c r="K110" s="7"/>
      <c r="L110" s="7"/>
      <c r="M110" s="7" t="s">
        <v>1691</v>
      </c>
      <c r="N110" s="7" t="s">
        <v>1691</v>
      </c>
      <c r="O110" s="5" t="s">
        <v>106</v>
      </c>
      <c r="P110" s="45">
        <v>673.89</v>
      </c>
      <c r="Q110" s="47">
        <f t="shared" si="1"/>
        <v>716.90426392199993</v>
      </c>
      <c r="R110" s="4">
        <v>180</v>
      </c>
      <c r="S110" s="4">
        <v>12</v>
      </c>
    </row>
    <row r="111" spans="2:19" ht="11.25" x14ac:dyDescent="0.15">
      <c r="B111" s="3">
        <v>4218664</v>
      </c>
      <c r="C111" s="4">
        <v>100</v>
      </c>
      <c r="D111" s="6">
        <v>192</v>
      </c>
      <c r="E111" s="7" t="s">
        <v>109</v>
      </c>
      <c r="F111" s="7"/>
      <c r="G111" s="7" t="s">
        <v>1691</v>
      </c>
      <c r="H111" s="7" t="s">
        <v>1691</v>
      </c>
      <c r="I111" s="7"/>
      <c r="J111" s="7"/>
      <c r="K111" s="7"/>
      <c r="L111" s="7"/>
      <c r="M111" s="7" t="s">
        <v>1691</v>
      </c>
      <c r="N111" s="7" t="s">
        <v>1691</v>
      </c>
      <c r="O111" s="5" t="s">
        <v>108</v>
      </c>
      <c r="P111" s="45">
        <v>1756.64</v>
      </c>
      <c r="Q111" s="47">
        <f t="shared" si="1"/>
        <v>1868.7659798719999</v>
      </c>
      <c r="R111" s="4">
        <v>180</v>
      </c>
      <c r="S111" s="4">
        <v>12</v>
      </c>
    </row>
    <row r="112" spans="2:19" ht="11.25" x14ac:dyDescent="0.15">
      <c r="B112" s="3">
        <v>4218665</v>
      </c>
      <c r="C112" s="4">
        <v>101</v>
      </c>
      <c r="D112" s="6">
        <v>193</v>
      </c>
      <c r="E112" s="7" t="s">
        <v>109</v>
      </c>
      <c r="F112" s="7"/>
      <c r="G112" s="7" t="s">
        <v>1691</v>
      </c>
      <c r="H112" s="7" t="s">
        <v>1691</v>
      </c>
      <c r="I112" s="7"/>
      <c r="J112" s="7"/>
      <c r="K112" s="7"/>
      <c r="L112" s="7"/>
      <c r="M112" s="7" t="s">
        <v>1691</v>
      </c>
      <c r="N112" s="7" t="s">
        <v>1691</v>
      </c>
      <c r="O112" s="5" t="s">
        <v>110</v>
      </c>
      <c r="P112" s="45">
        <v>1713.3</v>
      </c>
      <c r="Q112" s="47">
        <f t="shared" si="1"/>
        <v>1822.6595963399998</v>
      </c>
      <c r="R112" s="4">
        <v>180</v>
      </c>
      <c r="S112" s="4">
        <v>12</v>
      </c>
    </row>
    <row r="113" spans="2:19" ht="21" x14ac:dyDescent="0.15">
      <c r="B113" s="3">
        <v>4218666</v>
      </c>
      <c r="C113" s="4">
        <v>102</v>
      </c>
      <c r="D113" s="6">
        <v>194</v>
      </c>
      <c r="E113" s="7"/>
      <c r="F113" s="7"/>
      <c r="G113" s="7" t="s">
        <v>1691</v>
      </c>
      <c r="H113" s="7" t="s">
        <v>1691</v>
      </c>
      <c r="I113" s="7"/>
      <c r="J113" s="7"/>
      <c r="K113" s="7"/>
      <c r="L113" s="7"/>
      <c r="M113" s="7" t="s">
        <v>1691</v>
      </c>
      <c r="N113" s="7" t="s">
        <v>1691</v>
      </c>
      <c r="O113" s="5" t="s">
        <v>111</v>
      </c>
      <c r="P113" s="45">
        <v>104.48</v>
      </c>
      <c r="Q113" s="47">
        <f t="shared" si="1"/>
        <v>111.148937504</v>
      </c>
      <c r="R113" s="4">
        <v>180</v>
      </c>
      <c r="S113" s="4">
        <v>12</v>
      </c>
    </row>
    <row r="114" spans="2:19" ht="21" x14ac:dyDescent="0.15">
      <c r="B114" s="3">
        <v>4218667</v>
      </c>
      <c r="C114" s="4">
        <v>103</v>
      </c>
      <c r="D114" s="6">
        <v>195</v>
      </c>
      <c r="E114" s="7"/>
      <c r="F114" s="7"/>
      <c r="G114" s="7" t="s">
        <v>1691</v>
      </c>
      <c r="H114" s="7" t="s">
        <v>1691</v>
      </c>
      <c r="I114" s="7"/>
      <c r="J114" s="7"/>
      <c r="K114" s="7"/>
      <c r="L114" s="7"/>
      <c r="M114" s="7" t="s">
        <v>1691</v>
      </c>
      <c r="N114" s="7" t="s">
        <v>1691</v>
      </c>
      <c r="O114" s="5" t="s">
        <v>112</v>
      </c>
      <c r="P114" s="45">
        <v>143.18</v>
      </c>
      <c r="Q114" s="47">
        <f t="shared" si="1"/>
        <v>152.319150764</v>
      </c>
      <c r="R114" s="4">
        <v>180</v>
      </c>
      <c r="S114" s="4">
        <v>12</v>
      </c>
    </row>
    <row r="115" spans="2:19" ht="11.25" x14ac:dyDescent="0.15">
      <c r="B115" s="3">
        <v>4218668</v>
      </c>
      <c r="C115" s="4">
        <v>104</v>
      </c>
      <c r="D115" s="6">
        <v>200</v>
      </c>
      <c r="E115" s="7"/>
      <c r="F115" s="7" t="s">
        <v>1691</v>
      </c>
      <c r="G115" s="7" t="s">
        <v>1691</v>
      </c>
      <c r="H115" s="7" t="s">
        <v>1691</v>
      </c>
      <c r="I115" s="7" t="s">
        <v>1691</v>
      </c>
      <c r="J115" s="7" t="s">
        <v>1691</v>
      </c>
      <c r="K115" s="7" t="s">
        <v>1691</v>
      </c>
      <c r="L115" s="7" t="s">
        <v>1691</v>
      </c>
      <c r="M115" s="7" t="s">
        <v>1691</v>
      </c>
      <c r="N115" s="7" t="s">
        <v>1691</v>
      </c>
      <c r="O115" s="5" t="s">
        <v>113</v>
      </c>
      <c r="P115" s="45">
        <v>356.95</v>
      </c>
      <c r="Q115" s="47">
        <f t="shared" si="1"/>
        <v>379.73404710999995</v>
      </c>
      <c r="R115" s="4">
        <v>180</v>
      </c>
      <c r="S115" s="4">
        <v>12</v>
      </c>
    </row>
    <row r="116" spans="2:19" ht="11.25" x14ac:dyDescent="0.15">
      <c r="B116" s="3">
        <v>4218669</v>
      </c>
      <c r="C116" s="4">
        <v>105</v>
      </c>
      <c r="D116" s="6">
        <v>201</v>
      </c>
      <c r="E116" s="7"/>
      <c r="F116" s="7" t="s">
        <v>1691</v>
      </c>
      <c r="G116" s="7" t="s">
        <v>1691</v>
      </c>
      <c r="H116" s="7" t="s">
        <v>1691</v>
      </c>
      <c r="I116" s="7" t="s">
        <v>1691</v>
      </c>
      <c r="J116" s="7" t="s">
        <v>1691</v>
      </c>
      <c r="K116" s="7" t="s">
        <v>1691</v>
      </c>
      <c r="L116" s="7" t="s">
        <v>1691</v>
      </c>
      <c r="M116" s="7" t="s">
        <v>1691</v>
      </c>
      <c r="N116" s="7" t="s">
        <v>1691</v>
      </c>
      <c r="O116" s="5" t="s">
        <v>114</v>
      </c>
      <c r="P116" s="45">
        <v>608.64</v>
      </c>
      <c r="Q116" s="47">
        <f t="shared" si="1"/>
        <v>647.48936947199991</v>
      </c>
      <c r="R116" s="4">
        <v>180</v>
      </c>
      <c r="S116" s="4">
        <v>12</v>
      </c>
    </row>
    <row r="117" spans="2:19" ht="11.25" x14ac:dyDescent="0.15">
      <c r="B117" s="3">
        <v>4218670</v>
      </c>
      <c r="C117" s="4">
        <v>106</v>
      </c>
      <c r="D117" s="6">
        <v>212</v>
      </c>
      <c r="E117" s="7"/>
      <c r="F117" s="7"/>
      <c r="G117" s="7" t="s">
        <v>1691</v>
      </c>
      <c r="H117" s="7" t="s">
        <v>1691</v>
      </c>
      <c r="I117" s="7"/>
      <c r="J117" s="7"/>
      <c r="K117" s="7"/>
      <c r="L117" s="7"/>
      <c r="M117" s="7" t="s">
        <v>1691</v>
      </c>
      <c r="N117" s="7" t="s">
        <v>1691</v>
      </c>
      <c r="O117" s="5" t="s">
        <v>115</v>
      </c>
      <c r="P117" s="45">
        <v>812.54</v>
      </c>
      <c r="Q117" s="47">
        <f t="shared" si="1"/>
        <v>864.40426569199985</v>
      </c>
      <c r="R117" s="4">
        <v>180</v>
      </c>
      <c r="S117" s="4">
        <v>12</v>
      </c>
    </row>
    <row r="118" spans="2:19" ht="11.25" x14ac:dyDescent="0.15">
      <c r="B118" s="3">
        <v>4218671</v>
      </c>
      <c r="C118" s="4">
        <v>107</v>
      </c>
      <c r="D118" s="6">
        <v>202</v>
      </c>
      <c r="E118" s="7"/>
      <c r="F118" s="7" t="s">
        <v>1691</v>
      </c>
      <c r="G118" s="7" t="s">
        <v>1691</v>
      </c>
      <c r="H118" s="7" t="s">
        <v>1691</v>
      </c>
      <c r="I118" s="7" t="s">
        <v>1691</v>
      </c>
      <c r="J118" s="7" t="s">
        <v>1691</v>
      </c>
      <c r="K118" s="7" t="s">
        <v>1691</v>
      </c>
      <c r="L118" s="7" t="s">
        <v>1691</v>
      </c>
      <c r="M118" s="7" t="s">
        <v>1691</v>
      </c>
      <c r="N118" s="7" t="s">
        <v>1691</v>
      </c>
      <c r="O118" s="5" t="s">
        <v>116</v>
      </c>
      <c r="P118" s="45">
        <v>660.34</v>
      </c>
      <c r="Q118" s="47">
        <f t="shared" si="1"/>
        <v>702.48937013199998</v>
      </c>
      <c r="R118" s="4">
        <v>180</v>
      </c>
      <c r="S118" s="4">
        <v>12</v>
      </c>
    </row>
    <row r="119" spans="2:19" ht="11.25" x14ac:dyDescent="0.15">
      <c r="B119" s="3">
        <v>4218672</v>
      </c>
      <c r="C119" s="4">
        <v>108</v>
      </c>
      <c r="D119" s="6">
        <v>203</v>
      </c>
      <c r="E119" s="7"/>
      <c r="F119" s="7" t="s">
        <v>1691</v>
      </c>
      <c r="G119" s="7" t="s">
        <v>1691</v>
      </c>
      <c r="H119" s="7" t="s">
        <v>1691</v>
      </c>
      <c r="I119" s="7" t="s">
        <v>1691</v>
      </c>
      <c r="J119" s="7" t="s">
        <v>1691</v>
      </c>
      <c r="K119" s="7" t="s">
        <v>1691</v>
      </c>
      <c r="L119" s="7" t="s">
        <v>1691</v>
      </c>
      <c r="M119" s="7" t="s">
        <v>1691</v>
      </c>
      <c r="N119" s="7" t="s">
        <v>1691</v>
      </c>
      <c r="O119" s="5" t="s">
        <v>117</v>
      </c>
      <c r="P119" s="45">
        <v>357.25</v>
      </c>
      <c r="Q119" s="47">
        <f t="shared" si="1"/>
        <v>380.05319605</v>
      </c>
      <c r="R119" s="4">
        <v>180</v>
      </c>
      <c r="S119" s="4">
        <v>12</v>
      </c>
    </row>
    <row r="120" spans="2:19" ht="11.25" x14ac:dyDescent="0.15">
      <c r="B120" s="3">
        <v>4218673</v>
      </c>
      <c r="C120" s="4">
        <v>109</v>
      </c>
      <c r="D120" s="6">
        <v>206</v>
      </c>
      <c r="E120" s="7"/>
      <c r="F120" s="7"/>
      <c r="G120" s="7" t="s">
        <v>1691</v>
      </c>
      <c r="H120" s="7" t="s">
        <v>1691</v>
      </c>
      <c r="I120" s="7"/>
      <c r="J120" s="7" t="s">
        <v>1691</v>
      </c>
      <c r="K120" s="7" t="s">
        <v>1691</v>
      </c>
      <c r="L120" s="7" t="s">
        <v>1691</v>
      </c>
      <c r="M120" s="7" t="s">
        <v>1691</v>
      </c>
      <c r="N120" s="7" t="s">
        <v>1691</v>
      </c>
      <c r="O120" s="5" t="s">
        <v>118</v>
      </c>
      <c r="P120" s="45">
        <v>610.65</v>
      </c>
      <c r="Q120" s="47">
        <f t="shared" si="1"/>
        <v>649.62766736999993</v>
      </c>
      <c r="R120" s="4">
        <v>180</v>
      </c>
      <c r="S120" s="4">
        <v>12</v>
      </c>
    </row>
    <row r="121" spans="2:19" ht="11.25" x14ac:dyDescent="0.15">
      <c r="B121" s="3">
        <v>4218674</v>
      </c>
      <c r="C121" s="4">
        <v>110</v>
      </c>
      <c r="D121" s="6">
        <v>207</v>
      </c>
      <c r="E121" s="7"/>
      <c r="F121" s="7"/>
      <c r="G121" s="7" t="s">
        <v>1691</v>
      </c>
      <c r="H121" s="7" t="s">
        <v>1691</v>
      </c>
      <c r="I121" s="7"/>
      <c r="J121" s="7" t="s">
        <v>1691</v>
      </c>
      <c r="K121" s="7" t="s">
        <v>1691</v>
      </c>
      <c r="L121" s="7" t="s">
        <v>1691</v>
      </c>
      <c r="M121" s="7" t="s">
        <v>1691</v>
      </c>
      <c r="N121" s="7" t="s">
        <v>1691</v>
      </c>
      <c r="O121" s="5" t="s">
        <v>119</v>
      </c>
      <c r="P121" s="45">
        <v>220.04</v>
      </c>
      <c r="Q121" s="47">
        <f t="shared" si="1"/>
        <v>234.08510919199998</v>
      </c>
      <c r="R121" s="4">
        <v>180</v>
      </c>
      <c r="S121" s="4">
        <v>12</v>
      </c>
    </row>
    <row r="122" spans="2:19" ht="11.25" x14ac:dyDescent="0.15">
      <c r="B122" s="3">
        <v>4218675</v>
      </c>
      <c r="C122" s="4">
        <v>111</v>
      </c>
      <c r="D122" s="6">
        <v>768</v>
      </c>
      <c r="E122" s="7"/>
      <c r="F122" s="7"/>
      <c r="G122" s="7" t="s">
        <v>1691</v>
      </c>
      <c r="H122" s="7" t="s">
        <v>1691</v>
      </c>
      <c r="I122" s="7"/>
      <c r="J122" s="7"/>
      <c r="K122" s="7"/>
      <c r="L122" s="7"/>
      <c r="M122" s="7" t="s">
        <v>1691</v>
      </c>
      <c r="N122" s="7" t="s">
        <v>1691</v>
      </c>
      <c r="O122" s="5" t="s">
        <v>120</v>
      </c>
      <c r="P122" s="45">
        <v>2785.85</v>
      </c>
      <c r="Q122" s="47">
        <f t="shared" si="1"/>
        <v>2963.6702483299996</v>
      </c>
      <c r="R122" s="4">
        <v>180</v>
      </c>
      <c r="S122" s="4">
        <v>12</v>
      </c>
    </row>
    <row r="123" spans="2:19" ht="11.25" x14ac:dyDescent="0.15">
      <c r="B123" s="3">
        <v>4218676</v>
      </c>
      <c r="C123" s="4">
        <v>112</v>
      </c>
      <c r="D123" s="6">
        <v>786</v>
      </c>
      <c r="E123" s="7"/>
      <c r="F123" s="7"/>
      <c r="G123" s="7" t="s">
        <v>1691</v>
      </c>
      <c r="H123" s="7" t="s">
        <v>1691</v>
      </c>
      <c r="I123" s="7"/>
      <c r="J123" s="7"/>
      <c r="K123" s="7"/>
      <c r="L123" s="7"/>
      <c r="M123" s="7" t="s">
        <v>1691</v>
      </c>
      <c r="N123" s="7" t="s">
        <v>1691</v>
      </c>
      <c r="O123" s="5" t="s">
        <v>121</v>
      </c>
      <c r="P123" s="45">
        <v>7201.66</v>
      </c>
      <c r="Q123" s="47">
        <f t="shared" si="1"/>
        <v>7661.3405174679992</v>
      </c>
      <c r="R123" s="4">
        <v>180</v>
      </c>
      <c r="S123" s="4">
        <v>12</v>
      </c>
    </row>
    <row r="124" spans="2:19" ht="11.25" x14ac:dyDescent="0.15">
      <c r="B124" s="3">
        <v>4218677</v>
      </c>
      <c r="C124" s="4">
        <v>113</v>
      </c>
      <c r="D124" s="6">
        <v>787</v>
      </c>
      <c r="E124" s="7"/>
      <c r="F124" s="7"/>
      <c r="G124" s="7" t="s">
        <v>1691</v>
      </c>
      <c r="H124" s="7" t="s">
        <v>1691</v>
      </c>
      <c r="I124" s="7"/>
      <c r="J124" s="7"/>
      <c r="K124" s="7"/>
      <c r="L124" s="7"/>
      <c r="M124" s="7" t="s">
        <v>1691</v>
      </c>
      <c r="N124" s="7" t="s">
        <v>1691</v>
      </c>
      <c r="O124" s="5" t="s">
        <v>122</v>
      </c>
      <c r="P124" s="45">
        <v>6609.58</v>
      </c>
      <c r="Q124" s="47">
        <f t="shared" si="1"/>
        <v>7031.4681694839992</v>
      </c>
      <c r="R124" s="4">
        <v>180</v>
      </c>
      <c r="S124" s="4">
        <v>12</v>
      </c>
    </row>
    <row r="125" spans="2:19" ht="11.25" x14ac:dyDescent="0.15">
      <c r="B125" s="3">
        <v>4218678</v>
      </c>
      <c r="C125" s="4">
        <v>114</v>
      </c>
      <c r="D125" s="6">
        <v>213</v>
      </c>
      <c r="E125" s="7"/>
      <c r="F125" s="7" t="s">
        <v>1691</v>
      </c>
      <c r="G125" s="7" t="s">
        <v>1691</v>
      </c>
      <c r="H125" s="7" t="s">
        <v>1691</v>
      </c>
      <c r="I125" s="7" t="s">
        <v>1691</v>
      </c>
      <c r="J125" s="7" t="s">
        <v>1691</v>
      </c>
      <c r="K125" s="7" t="s">
        <v>1691</v>
      </c>
      <c r="L125" s="7" t="s">
        <v>1691</v>
      </c>
      <c r="M125" s="7" t="s">
        <v>1691</v>
      </c>
      <c r="N125" s="7" t="s">
        <v>1691</v>
      </c>
      <c r="O125" s="5" t="s">
        <v>1697</v>
      </c>
      <c r="P125" s="45">
        <v>2883.46</v>
      </c>
      <c r="Q125" s="47">
        <f t="shared" si="1"/>
        <v>3067.5106751079998</v>
      </c>
      <c r="R125" s="4">
        <v>180</v>
      </c>
      <c r="S125" s="4">
        <v>12</v>
      </c>
    </row>
    <row r="126" spans="2:19" ht="11.25" x14ac:dyDescent="0.15">
      <c r="B126" s="3">
        <v>4218679</v>
      </c>
      <c r="C126" s="4">
        <v>115</v>
      </c>
      <c r="D126" s="6">
        <v>214</v>
      </c>
      <c r="E126" s="7"/>
      <c r="F126" s="7" t="s">
        <v>1691</v>
      </c>
      <c r="G126" s="7" t="s">
        <v>1691</v>
      </c>
      <c r="H126" s="7" t="s">
        <v>1691</v>
      </c>
      <c r="I126" s="7" t="s">
        <v>1691</v>
      </c>
      <c r="J126" s="7" t="s">
        <v>1691</v>
      </c>
      <c r="K126" s="7" t="s">
        <v>1691</v>
      </c>
      <c r="L126" s="7" t="s">
        <v>1691</v>
      </c>
      <c r="M126" s="7" t="s">
        <v>1691</v>
      </c>
      <c r="N126" s="7" t="s">
        <v>1691</v>
      </c>
      <c r="O126" s="5" t="s">
        <v>123</v>
      </c>
      <c r="P126" s="45">
        <v>3273.48</v>
      </c>
      <c r="Q126" s="47">
        <f t="shared" si="1"/>
        <v>3482.4255737039998</v>
      </c>
      <c r="R126" s="4">
        <v>180</v>
      </c>
      <c r="S126" s="4">
        <v>12</v>
      </c>
    </row>
    <row r="127" spans="2:19" ht="11.25" x14ac:dyDescent="0.15">
      <c r="B127" s="3">
        <v>4218680</v>
      </c>
      <c r="C127" s="4">
        <v>116</v>
      </c>
      <c r="D127" s="6">
        <v>215</v>
      </c>
      <c r="E127" s="7"/>
      <c r="F127" s="7" t="s">
        <v>1691</v>
      </c>
      <c r="G127" s="7" t="s">
        <v>1691</v>
      </c>
      <c r="H127" s="7" t="s">
        <v>1691</v>
      </c>
      <c r="I127" s="7" t="s">
        <v>1691</v>
      </c>
      <c r="J127" s="7" t="s">
        <v>1691</v>
      </c>
      <c r="K127" s="7" t="s">
        <v>1691</v>
      </c>
      <c r="L127" s="7" t="s">
        <v>1691</v>
      </c>
      <c r="M127" s="7" t="s">
        <v>1691</v>
      </c>
      <c r="N127" s="7" t="s">
        <v>1691</v>
      </c>
      <c r="O127" s="5" t="s">
        <v>1698</v>
      </c>
      <c r="P127" s="45">
        <v>2883.46</v>
      </c>
      <c r="Q127" s="47">
        <f t="shared" si="1"/>
        <v>3067.5106751079998</v>
      </c>
      <c r="R127" s="4">
        <v>180</v>
      </c>
      <c r="S127" s="4">
        <v>12</v>
      </c>
    </row>
    <row r="128" spans="2:19" ht="11.25" x14ac:dyDescent="0.15">
      <c r="B128" s="3">
        <v>4218681</v>
      </c>
      <c r="C128" s="4">
        <v>117</v>
      </c>
      <c r="D128" s="6">
        <v>216</v>
      </c>
      <c r="E128" s="7"/>
      <c r="F128" s="7" t="s">
        <v>1691</v>
      </c>
      <c r="G128" s="7" t="s">
        <v>1691</v>
      </c>
      <c r="H128" s="7" t="s">
        <v>1691</v>
      </c>
      <c r="I128" s="7" t="s">
        <v>1691</v>
      </c>
      <c r="J128" s="7" t="s">
        <v>1691</v>
      </c>
      <c r="K128" s="7" t="s">
        <v>1691</v>
      </c>
      <c r="L128" s="7" t="s">
        <v>1691</v>
      </c>
      <c r="M128" s="7" t="s">
        <v>1691</v>
      </c>
      <c r="N128" s="7" t="s">
        <v>1691</v>
      </c>
      <c r="O128" s="5" t="s">
        <v>124</v>
      </c>
      <c r="P128" s="45">
        <v>3273.48</v>
      </c>
      <c r="Q128" s="47">
        <f t="shared" si="1"/>
        <v>3482.4255737039998</v>
      </c>
      <c r="R128" s="4">
        <v>180</v>
      </c>
      <c r="S128" s="4">
        <v>12</v>
      </c>
    </row>
    <row r="129" spans="2:19" ht="11.25" x14ac:dyDescent="0.15">
      <c r="B129" s="3">
        <v>4218682</v>
      </c>
      <c r="C129" s="4">
        <v>118</v>
      </c>
      <c r="D129" s="6">
        <v>217</v>
      </c>
      <c r="E129" s="7"/>
      <c r="F129" s="7" t="s">
        <v>1691</v>
      </c>
      <c r="G129" s="7"/>
      <c r="H129" s="7"/>
      <c r="I129" s="7" t="s">
        <v>1691</v>
      </c>
      <c r="J129" s="7" t="s">
        <v>1691</v>
      </c>
      <c r="K129" s="7"/>
      <c r="L129" s="7"/>
      <c r="M129" s="7"/>
      <c r="N129" s="7"/>
      <c r="O129" s="5" t="s">
        <v>125</v>
      </c>
      <c r="P129" s="45">
        <v>2883.46</v>
      </c>
      <c r="Q129" s="47">
        <f t="shared" si="1"/>
        <v>3067.5106751079998</v>
      </c>
      <c r="R129" s="4">
        <v>180</v>
      </c>
      <c r="S129" s="4">
        <v>12</v>
      </c>
    </row>
    <row r="130" spans="2:19" ht="11.25" x14ac:dyDescent="0.15">
      <c r="B130" s="3">
        <v>4218683</v>
      </c>
      <c r="C130" s="4">
        <v>119</v>
      </c>
      <c r="D130" s="6">
        <v>218</v>
      </c>
      <c r="E130" s="7"/>
      <c r="F130" s="7" t="s">
        <v>1691</v>
      </c>
      <c r="G130" s="7"/>
      <c r="H130" s="7"/>
      <c r="I130" s="7" t="s">
        <v>1691</v>
      </c>
      <c r="J130" s="7" t="s">
        <v>1691</v>
      </c>
      <c r="K130" s="7"/>
      <c r="L130" s="7"/>
      <c r="M130" s="7"/>
      <c r="N130" s="7"/>
      <c r="O130" s="5" t="s">
        <v>126</v>
      </c>
      <c r="P130" s="45">
        <v>3273.48</v>
      </c>
      <c r="Q130" s="47">
        <f t="shared" si="1"/>
        <v>3482.4255737039998</v>
      </c>
      <c r="R130" s="4">
        <v>180</v>
      </c>
      <c r="S130" s="4">
        <v>12</v>
      </c>
    </row>
    <row r="131" spans="2:19" ht="11.25" x14ac:dyDescent="0.15">
      <c r="B131" s="3">
        <v>4218684</v>
      </c>
      <c r="C131" s="4">
        <v>120</v>
      </c>
      <c r="D131" s="6">
        <v>616</v>
      </c>
      <c r="E131" s="7"/>
      <c r="F131" s="7"/>
      <c r="G131" s="7"/>
      <c r="H131" s="7"/>
      <c r="I131" s="7"/>
      <c r="J131" s="7"/>
      <c r="K131" s="7" t="s">
        <v>1691</v>
      </c>
      <c r="L131" s="7" t="s">
        <v>1691</v>
      </c>
      <c r="M131" s="7"/>
      <c r="N131" s="7"/>
      <c r="O131" s="5" t="s">
        <v>127</v>
      </c>
      <c r="P131" s="45">
        <v>2883.46</v>
      </c>
      <c r="Q131" s="47">
        <f t="shared" si="1"/>
        <v>3067.5106751079998</v>
      </c>
      <c r="R131" s="4">
        <v>180</v>
      </c>
      <c r="S131" s="4">
        <v>12</v>
      </c>
    </row>
    <row r="132" spans="2:19" ht="11.25" x14ac:dyDescent="0.15">
      <c r="B132" s="3">
        <v>4218685</v>
      </c>
      <c r="C132" s="4">
        <v>121</v>
      </c>
      <c r="D132" s="6">
        <v>617</v>
      </c>
      <c r="E132" s="7"/>
      <c r="F132" s="7"/>
      <c r="G132" s="7"/>
      <c r="H132" s="7"/>
      <c r="I132" s="7"/>
      <c r="J132" s="7"/>
      <c r="K132" s="7" t="s">
        <v>1691</v>
      </c>
      <c r="L132" s="7" t="s">
        <v>1691</v>
      </c>
      <c r="M132" s="7"/>
      <c r="N132" s="7"/>
      <c r="O132" s="5" t="s">
        <v>126</v>
      </c>
      <c r="P132" s="45">
        <v>3273.48</v>
      </c>
      <c r="Q132" s="47">
        <f t="shared" si="1"/>
        <v>3482.4255737039998</v>
      </c>
      <c r="R132" s="4">
        <v>180</v>
      </c>
      <c r="S132" s="4">
        <v>12</v>
      </c>
    </row>
    <row r="133" spans="2:19" ht="11.25" x14ac:dyDescent="0.15">
      <c r="B133" s="3">
        <v>4218686</v>
      </c>
      <c r="C133" s="4">
        <v>122</v>
      </c>
      <c r="D133" s="6">
        <v>219</v>
      </c>
      <c r="E133" s="7"/>
      <c r="F133" s="7"/>
      <c r="G133" s="7" t="s">
        <v>1691</v>
      </c>
      <c r="H133" s="7" t="s">
        <v>1691</v>
      </c>
      <c r="I133" s="7"/>
      <c r="J133" s="7"/>
      <c r="K133" s="7"/>
      <c r="L133" s="7"/>
      <c r="M133" s="7" t="s">
        <v>1691</v>
      </c>
      <c r="N133" s="7" t="s">
        <v>1691</v>
      </c>
      <c r="O133" s="5" t="s">
        <v>1699</v>
      </c>
      <c r="P133" s="45">
        <v>2883.46</v>
      </c>
      <c r="Q133" s="47">
        <f t="shared" si="1"/>
        <v>3067.5106751079998</v>
      </c>
      <c r="R133" s="4">
        <v>180</v>
      </c>
      <c r="S133" s="4">
        <v>12</v>
      </c>
    </row>
    <row r="134" spans="2:19" ht="11.25" x14ac:dyDescent="0.15">
      <c r="B134" s="3">
        <v>4218687</v>
      </c>
      <c r="C134" s="4">
        <v>123</v>
      </c>
      <c r="D134" s="6">
        <v>220</v>
      </c>
      <c r="E134" s="7"/>
      <c r="F134" s="7"/>
      <c r="G134" s="7" t="s">
        <v>1691</v>
      </c>
      <c r="H134" s="7" t="s">
        <v>1691</v>
      </c>
      <c r="I134" s="7"/>
      <c r="J134" s="7"/>
      <c r="K134" s="7"/>
      <c r="L134" s="7"/>
      <c r="M134" s="7" t="s">
        <v>1691</v>
      </c>
      <c r="N134" s="7" t="s">
        <v>1691</v>
      </c>
      <c r="O134" s="5" t="s">
        <v>1700</v>
      </c>
      <c r="P134" s="45">
        <v>3273.48</v>
      </c>
      <c r="Q134" s="47">
        <f t="shared" si="1"/>
        <v>3482.4255737039998</v>
      </c>
      <c r="R134" s="4">
        <v>180</v>
      </c>
      <c r="S134" s="4">
        <v>12</v>
      </c>
    </row>
    <row r="135" spans="2:19" ht="11.25" x14ac:dyDescent="0.15">
      <c r="B135" s="3">
        <v>4218688</v>
      </c>
      <c r="C135" s="4">
        <v>124</v>
      </c>
      <c r="D135" s="6">
        <v>788</v>
      </c>
      <c r="E135" s="7"/>
      <c r="F135" s="7"/>
      <c r="G135" s="7" t="s">
        <v>1691</v>
      </c>
      <c r="H135" s="7" t="s">
        <v>1691</v>
      </c>
      <c r="I135" s="7"/>
      <c r="J135" s="7"/>
      <c r="K135" s="7"/>
      <c r="L135" s="7"/>
      <c r="M135" s="7" t="s">
        <v>1691</v>
      </c>
      <c r="N135" s="7" t="s">
        <v>1691</v>
      </c>
      <c r="O135" s="5" t="s">
        <v>128</v>
      </c>
      <c r="P135" s="45">
        <v>1314.77</v>
      </c>
      <c r="Q135" s="47">
        <f t="shared" si="1"/>
        <v>1398.6915061459999</v>
      </c>
      <c r="R135" s="4">
        <v>180</v>
      </c>
      <c r="S135" s="4">
        <v>12</v>
      </c>
    </row>
    <row r="136" spans="2:19" ht="11.25" x14ac:dyDescent="0.15">
      <c r="B136" s="3">
        <v>4218689</v>
      </c>
      <c r="C136" s="4">
        <v>125</v>
      </c>
      <c r="D136" s="6">
        <v>789</v>
      </c>
      <c r="E136" s="7"/>
      <c r="F136" s="7"/>
      <c r="G136" s="7" t="s">
        <v>1691</v>
      </c>
      <c r="H136" s="7" t="s">
        <v>1691</v>
      </c>
      <c r="I136" s="7"/>
      <c r="J136" s="7"/>
      <c r="K136" s="7"/>
      <c r="L136" s="7"/>
      <c r="M136" s="7" t="s">
        <v>1691</v>
      </c>
      <c r="N136" s="7" t="s">
        <v>1691</v>
      </c>
      <c r="O136" s="5" t="s">
        <v>129</v>
      </c>
      <c r="P136" s="45">
        <v>1624.31</v>
      </c>
      <c r="Q136" s="47">
        <f t="shared" si="1"/>
        <v>1727.9893824379999</v>
      </c>
      <c r="R136" s="4">
        <v>180</v>
      </c>
      <c r="S136" s="4">
        <v>12</v>
      </c>
    </row>
    <row r="137" spans="2:19" ht="11.25" x14ac:dyDescent="0.15">
      <c r="B137" s="3">
        <v>4218690</v>
      </c>
      <c r="C137" s="4">
        <v>126</v>
      </c>
      <c r="D137" s="6">
        <v>790</v>
      </c>
      <c r="E137" s="7"/>
      <c r="F137" s="7"/>
      <c r="G137" s="7" t="s">
        <v>1691</v>
      </c>
      <c r="H137" s="7" t="s">
        <v>1691</v>
      </c>
      <c r="I137" s="7"/>
      <c r="J137" s="7"/>
      <c r="K137" s="7"/>
      <c r="L137" s="7"/>
      <c r="M137" s="7" t="s">
        <v>1691</v>
      </c>
      <c r="N137" s="7" t="s">
        <v>1691</v>
      </c>
      <c r="O137" s="5" t="s">
        <v>130</v>
      </c>
      <c r="P137" s="45">
        <v>4969.72</v>
      </c>
      <c r="Q137" s="47">
        <f t="shared" si="1"/>
        <v>5286.9362336559998</v>
      </c>
      <c r="R137" s="4">
        <v>180</v>
      </c>
      <c r="S137" s="4">
        <v>12</v>
      </c>
    </row>
    <row r="138" spans="2:19" ht="11.25" x14ac:dyDescent="0.15">
      <c r="B138" s="3">
        <v>4218691</v>
      </c>
      <c r="C138" s="4">
        <v>127</v>
      </c>
      <c r="D138" s="6">
        <v>747</v>
      </c>
      <c r="E138" s="7"/>
      <c r="F138" s="7" t="s">
        <v>1691</v>
      </c>
      <c r="G138" s="7"/>
      <c r="H138" s="7"/>
      <c r="I138" s="7" t="s">
        <v>1691</v>
      </c>
      <c r="J138" s="7" t="s">
        <v>1691</v>
      </c>
      <c r="K138" s="7" t="s">
        <v>1691</v>
      </c>
      <c r="L138" s="7"/>
      <c r="M138" s="7"/>
      <c r="N138" s="7"/>
      <c r="O138" s="5" t="s">
        <v>131</v>
      </c>
      <c r="P138" s="45">
        <v>2713.12</v>
      </c>
      <c r="Q138" s="47">
        <f t="shared" si="1"/>
        <v>2886.2979069759999</v>
      </c>
      <c r="R138" s="4">
        <v>180</v>
      </c>
      <c r="S138" s="4">
        <v>12</v>
      </c>
    </row>
    <row r="139" spans="2:19" ht="11.25" x14ac:dyDescent="0.15">
      <c r="B139" s="3">
        <v>4218692</v>
      </c>
      <c r="C139" s="4">
        <v>128</v>
      </c>
      <c r="D139" s="6">
        <v>221</v>
      </c>
      <c r="E139" s="7"/>
      <c r="F139" s="7" t="s">
        <v>1691</v>
      </c>
      <c r="G139" s="7" t="s">
        <v>1691</v>
      </c>
      <c r="H139" s="7" t="s">
        <v>1691</v>
      </c>
      <c r="I139" s="7" t="s">
        <v>1691</v>
      </c>
      <c r="J139" s="7" t="s">
        <v>1691</v>
      </c>
      <c r="K139" s="7" t="s">
        <v>1691</v>
      </c>
      <c r="L139" s="7" t="s">
        <v>1691</v>
      </c>
      <c r="M139" s="7" t="s">
        <v>1691</v>
      </c>
      <c r="N139" s="7" t="s">
        <v>1691</v>
      </c>
      <c r="O139" s="5" t="s">
        <v>132</v>
      </c>
      <c r="P139" s="45">
        <v>1630.66</v>
      </c>
      <c r="Q139" s="47">
        <f t="shared" si="1"/>
        <v>1734.7447016680001</v>
      </c>
      <c r="R139" s="4">
        <v>180</v>
      </c>
      <c r="S139" s="4">
        <v>12</v>
      </c>
    </row>
    <row r="140" spans="2:19" ht="11.25" x14ac:dyDescent="0.15">
      <c r="B140" s="3">
        <v>4218693</v>
      </c>
      <c r="C140" s="4">
        <v>129</v>
      </c>
      <c r="D140" s="6">
        <v>769</v>
      </c>
      <c r="E140" s="7"/>
      <c r="F140" s="7"/>
      <c r="G140" s="7" t="s">
        <v>1691</v>
      </c>
      <c r="H140" s="7" t="s">
        <v>1691</v>
      </c>
      <c r="I140" s="7"/>
      <c r="J140" s="7"/>
      <c r="K140" s="7"/>
      <c r="L140" s="7"/>
      <c r="M140" s="7" t="s">
        <v>1691</v>
      </c>
      <c r="N140" s="7" t="s">
        <v>1691</v>
      </c>
      <c r="O140" s="5" t="s">
        <v>133</v>
      </c>
      <c r="P140" s="45">
        <v>622.89</v>
      </c>
      <c r="Q140" s="47">
        <f t="shared" si="1"/>
        <v>662.64894412199999</v>
      </c>
      <c r="R140" s="4">
        <v>180</v>
      </c>
      <c r="S140" s="4">
        <v>12</v>
      </c>
    </row>
    <row r="141" spans="2:19" ht="11.25" x14ac:dyDescent="0.15">
      <c r="B141" s="3">
        <v>4218694</v>
      </c>
      <c r="C141" s="4">
        <v>130</v>
      </c>
      <c r="D141" s="6">
        <v>791</v>
      </c>
      <c r="E141" s="7"/>
      <c r="F141" s="7"/>
      <c r="G141" s="7" t="s">
        <v>1691</v>
      </c>
      <c r="H141" s="7" t="s">
        <v>1691</v>
      </c>
      <c r="I141" s="7"/>
      <c r="J141" s="7"/>
      <c r="K141" s="7"/>
      <c r="L141" s="7"/>
      <c r="M141" s="7" t="s">
        <v>1691</v>
      </c>
      <c r="N141" s="7" t="s">
        <v>1691</v>
      </c>
      <c r="O141" s="5" t="s">
        <v>134</v>
      </c>
      <c r="P141" s="45">
        <v>2265.2800000000002</v>
      </c>
      <c r="Q141" s="47">
        <f t="shared" si="1"/>
        <v>2409.8723693440002</v>
      </c>
      <c r="R141" s="4">
        <v>180</v>
      </c>
      <c r="S141" s="4">
        <v>12</v>
      </c>
    </row>
    <row r="142" spans="2:19" ht="21" x14ac:dyDescent="0.15">
      <c r="B142" s="3">
        <v>4218695</v>
      </c>
      <c r="C142" s="4">
        <v>131</v>
      </c>
      <c r="D142" s="6">
        <v>222</v>
      </c>
      <c r="E142" s="7"/>
      <c r="F142" s="7"/>
      <c r="G142" s="7" t="s">
        <v>1691</v>
      </c>
      <c r="H142" s="7" t="s">
        <v>1691</v>
      </c>
      <c r="I142" s="7"/>
      <c r="J142" s="7"/>
      <c r="K142" s="7"/>
      <c r="L142" s="7"/>
      <c r="M142" s="7" t="s">
        <v>1691</v>
      </c>
      <c r="N142" s="7" t="s">
        <v>1691</v>
      </c>
      <c r="O142" s="5" t="s">
        <v>135</v>
      </c>
      <c r="P142" s="45">
        <v>35374.53</v>
      </c>
      <c r="Q142" s="47">
        <f t="shared" si="1"/>
        <v>37632.479174993998</v>
      </c>
      <c r="R142" s="4">
        <v>180</v>
      </c>
      <c r="S142" s="4">
        <v>12</v>
      </c>
    </row>
    <row r="143" spans="2:19" ht="11.25" x14ac:dyDescent="0.15">
      <c r="B143" s="3">
        <v>4218696</v>
      </c>
      <c r="C143" s="4">
        <v>132</v>
      </c>
      <c r="D143" s="6">
        <v>224</v>
      </c>
      <c r="E143" s="7"/>
      <c r="F143" s="7" t="s">
        <v>1691</v>
      </c>
      <c r="G143" s="7" t="s">
        <v>1691</v>
      </c>
      <c r="H143" s="7" t="s">
        <v>1691</v>
      </c>
      <c r="I143" s="7" t="s">
        <v>1691</v>
      </c>
      <c r="J143" s="7" t="s">
        <v>1691</v>
      </c>
      <c r="K143" s="7" t="s">
        <v>1691</v>
      </c>
      <c r="L143" s="7" t="s">
        <v>1691</v>
      </c>
      <c r="M143" s="7" t="s">
        <v>1691</v>
      </c>
      <c r="N143" s="7" t="s">
        <v>1691</v>
      </c>
      <c r="O143" s="5" t="s">
        <v>136</v>
      </c>
      <c r="P143" s="45">
        <v>641.54999999999995</v>
      </c>
      <c r="Q143" s="47">
        <f t="shared" si="1"/>
        <v>682.5000081899999</v>
      </c>
      <c r="R143" s="4">
        <v>180</v>
      </c>
      <c r="S143" s="4">
        <v>12</v>
      </c>
    </row>
    <row r="144" spans="2:19" ht="11.25" x14ac:dyDescent="0.15">
      <c r="B144" s="3">
        <v>4218697</v>
      </c>
      <c r="C144" s="4">
        <v>133</v>
      </c>
      <c r="D144" s="6">
        <v>226</v>
      </c>
      <c r="E144" s="7"/>
      <c r="F144" s="7"/>
      <c r="G144" s="7" t="s">
        <v>1691</v>
      </c>
      <c r="H144" s="7" t="s">
        <v>1691</v>
      </c>
      <c r="I144" s="7"/>
      <c r="J144" s="7"/>
      <c r="K144" s="7"/>
      <c r="L144" s="7"/>
      <c r="M144" s="7" t="s">
        <v>1691</v>
      </c>
      <c r="N144" s="7" t="s">
        <v>1691</v>
      </c>
      <c r="O144" s="5" t="s">
        <v>137</v>
      </c>
      <c r="P144" s="45">
        <v>1708.2</v>
      </c>
      <c r="Q144" s="47">
        <f t="shared" ref="Q144:Q207" si="2">P144*1.0638298</f>
        <v>1817.23406436</v>
      </c>
      <c r="R144" s="4">
        <v>180</v>
      </c>
      <c r="S144" s="4">
        <v>12</v>
      </c>
    </row>
    <row r="145" spans="2:19" ht="11.25" x14ac:dyDescent="0.15">
      <c r="B145" s="3">
        <v>4218698</v>
      </c>
      <c r="C145" s="4">
        <v>134</v>
      </c>
      <c r="D145" s="6">
        <v>623</v>
      </c>
      <c r="E145" s="7"/>
      <c r="F145" s="7" t="s">
        <v>1691</v>
      </c>
      <c r="G145" s="7" t="s">
        <v>1691</v>
      </c>
      <c r="H145" s="7" t="s">
        <v>1691</v>
      </c>
      <c r="I145" s="7" t="s">
        <v>1691</v>
      </c>
      <c r="J145" s="7" t="s">
        <v>1691</v>
      </c>
      <c r="K145" s="7" t="s">
        <v>1691</v>
      </c>
      <c r="L145" s="7" t="s">
        <v>1691</v>
      </c>
      <c r="M145" s="7" t="s">
        <v>1691</v>
      </c>
      <c r="N145" s="7" t="s">
        <v>1691</v>
      </c>
      <c r="O145" s="5" t="s">
        <v>138</v>
      </c>
      <c r="P145" s="45">
        <v>173.49</v>
      </c>
      <c r="Q145" s="47">
        <f t="shared" si="2"/>
        <v>184.563832002</v>
      </c>
      <c r="R145" s="4">
        <v>180</v>
      </c>
      <c r="S145" s="4">
        <v>12</v>
      </c>
    </row>
    <row r="146" spans="2:19" ht="11.25" x14ac:dyDescent="0.15">
      <c r="B146" s="3">
        <v>4218699</v>
      </c>
      <c r="C146" s="4">
        <v>135</v>
      </c>
      <c r="D146" s="6">
        <v>792</v>
      </c>
      <c r="E146" s="7"/>
      <c r="F146" s="7"/>
      <c r="G146" s="7" t="s">
        <v>1691</v>
      </c>
      <c r="H146" s="7" t="s">
        <v>1691</v>
      </c>
      <c r="I146" s="7"/>
      <c r="J146" s="7"/>
      <c r="K146" s="7"/>
      <c r="L146" s="7"/>
      <c r="M146" s="7" t="s">
        <v>1691</v>
      </c>
      <c r="N146" s="7" t="s">
        <v>1691</v>
      </c>
      <c r="O146" s="5" t="s">
        <v>139</v>
      </c>
      <c r="P146" s="45">
        <v>2282.54</v>
      </c>
      <c r="Q146" s="47">
        <f t="shared" si="2"/>
        <v>2428.2340716919998</v>
      </c>
      <c r="R146" s="4">
        <v>180</v>
      </c>
      <c r="S146" s="4">
        <v>12</v>
      </c>
    </row>
    <row r="147" spans="2:19" ht="11.25" x14ac:dyDescent="0.15">
      <c r="B147" s="3">
        <v>4218700</v>
      </c>
      <c r="C147" s="4">
        <v>136</v>
      </c>
      <c r="D147" s="6">
        <v>227</v>
      </c>
      <c r="E147" s="7" t="s">
        <v>141</v>
      </c>
      <c r="F147" s="7" t="s">
        <v>1691</v>
      </c>
      <c r="G147" s="7" t="s">
        <v>1691</v>
      </c>
      <c r="H147" s="7" t="s">
        <v>1691</v>
      </c>
      <c r="I147" s="7" t="s">
        <v>1691</v>
      </c>
      <c r="J147" s="7" t="s">
        <v>1691</v>
      </c>
      <c r="K147" s="7" t="s">
        <v>1691</v>
      </c>
      <c r="L147" s="7" t="s">
        <v>1691</v>
      </c>
      <c r="M147" s="7" t="s">
        <v>1691</v>
      </c>
      <c r="N147" s="7" t="s">
        <v>1691</v>
      </c>
      <c r="O147" s="5" t="s">
        <v>140</v>
      </c>
      <c r="P147" s="45">
        <v>169.1</v>
      </c>
      <c r="Q147" s="47">
        <f t="shared" si="2"/>
        <v>179.89361917999997</v>
      </c>
      <c r="R147" s="4">
        <v>180</v>
      </c>
      <c r="S147" s="4">
        <v>12</v>
      </c>
    </row>
    <row r="148" spans="2:19" ht="11.25" x14ac:dyDescent="0.15">
      <c r="B148" s="3">
        <v>4218701</v>
      </c>
      <c r="C148" s="4">
        <v>137</v>
      </c>
      <c r="D148" s="6">
        <v>793</v>
      </c>
      <c r="E148" s="7"/>
      <c r="F148" s="7"/>
      <c r="G148" s="7" t="s">
        <v>1691</v>
      </c>
      <c r="H148" s="7" t="s">
        <v>1691</v>
      </c>
      <c r="I148" s="7"/>
      <c r="J148" s="7"/>
      <c r="K148" s="7"/>
      <c r="L148" s="7"/>
      <c r="M148" s="7" t="s">
        <v>1691</v>
      </c>
      <c r="N148" s="7" t="s">
        <v>1691</v>
      </c>
      <c r="O148" s="5" t="s">
        <v>142</v>
      </c>
      <c r="P148" s="45">
        <v>928.61</v>
      </c>
      <c r="Q148" s="47">
        <f t="shared" si="2"/>
        <v>987.88299057799998</v>
      </c>
      <c r="R148" s="4">
        <v>180</v>
      </c>
      <c r="S148" s="4">
        <v>12</v>
      </c>
    </row>
    <row r="149" spans="2:19" ht="11.25" x14ac:dyDescent="0.15">
      <c r="B149" s="3">
        <v>4218702</v>
      </c>
      <c r="C149" s="4">
        <v>138</v>
      </c>
      <c r="D149" s="6">
        <v>794</v>
      </c>
      <c r="E149" s="7"/>
      <c r="F149" s="7"/>
      <c r="G149" s="7" t="s">
        <v>1691</v>
      </c>
      <c r="H149" s="7" t="s">
        <v>1691</v>
      </c>
      <c r="I149" s="7"/>
      <c r="J149" s="7"/>
      <c r="K149" s="7"/>
      <c r="L149" s="7"/>
      <c r="M149" s="7" t="s">
        <v>1691</v>
      </c>
      <c r="N149" s="7" t="s">
        <v>1691</v>
      </c>
      <c r="O149" s="5" t="s">
        <v>143</v>
      </c>
      <c r="P149" s="45">
        <v>7777.58</v>
      </c>
      <c r="Q149" s="47">
        <f t="shared" si="2"/>
        <v>8274.021375884</v>
      </c>
      <c r="R149" s="4">
        <v>180</v>
      </c>
      <c r="S149" s="4">
        <v>12</v>
      </c>
    </row>
    <row r="150" spans="2:19" ht="11.25" x14ac:dyDescent="0.15">
      <c r="B150" s="3">
        <v>4218703</v>
      </c>
      <c r="C150" s="4">
        <v>139</v>
      </c>
      <c r="D150" s="6">
        <v>794</v>
      </c>
      <c r="E150" s="7"/>
      <c r="F150" s="7"/>
      <c r="G150" s="7" t="s">
        <v>1691</v>
      </c>
      <c r="H150" s="7" t="s">
        <v>1691</v>
      </c>
      <c r="I150" s="7"/>
      <c r="J150" s="7"/>
      <c r="K150" s="7"/>
      <c r="L150" s="7"/>
      <c r="M150" s="7" t="s">
        <v>1691</v>
      </c>
      <c r="N150" s="7" t="s">
        <v>1691</v>
      </c>
      <c r="O150" s="5" t="s">
        <v>144</v>
      </c>
      <c r="P150" s="45">
        <v>1972.7</v>
      </c>
      <c r="Q150" s="47">
        <f t="shared" si="2"/>
        <v>2098.61704646</v>
      </c>
      <c r="R150" s="4">
        <v>180</v>
      </c>
      <c r="S150" s="4">
        <v>12</v>
      </c>
    </row>
    <row r="151" spans="2:19" ht="11.25" x14ac:dyDescent="0.15">
      <c r="B151" s="3">
        <v>4218704</v>
      </c>
      <c r="C151" s="4">
        <v>140</v>
      </c>
      <c r="D151" s="6">
        <v>795</v>
      </c>
      <c r="E151" s="7"/>
      <c r="F151" s="7"/>
      <c r="G151" s="7" t="s">
        <v>1691</v>
      </c>
      <c r="H151" s="7" t="s">
        <v>1691</v>
      </c>
      <c r="I151" s="7"/>
      <c r="J151" s="7"/>
      <c r="K151" s="7"/>
      <c r="L151" s="7"/>
      <c r="M151" s="7" t="s">
        <v>1691</v>
      </c>
      <c r="N151" s="7" t="s">
        <v>1691</v>
      </c>
      <c r="O151" s="5" t="s">
        <v>145</v>
      </c>
      <c r="P151" s="45">
        <v>8618.6200000000008</v>
      </c>
      <c r="Q151" s="47">
        <f t="shared" si="2"/>
        <v>9168.7447908760005</v>
      </c>
      <c r="R151" s="4">
        <v>180</v>
      </c>
      <c r="S151" s="4">
        <v>12</v>
      </c>
    </row>
    <row r="152" spans="2:19" ht="11.25" x14ac:dyDescent="0.15">
      <c r="B152" s="3">
        <v>4218705</v>
      </c>
      <c r="C152" s="4">
        <v>141</v>
      </c>
      <c r="D152" s="6">
        <v>796</v>
      </c>
      <c r="E152" s="7"/>
      <c r="F152" s="7"/>
      <c r="G152" s="7" t="s">
        <v>1691</v>
      </c>
      <c r="H152" s="7" t="s">
        <v>1691</v>
      </c>
      <c r="I152" s="7"/>
      <c r="J152" s="7"/>
      <c r="K152" s="7"/>
      <c r="L152" s="7"/>
      <c r="M152" s="7" t="s">
        <v>1691</v>
      </c>
      <c r="N152" s="7" t="s">
        <v>1691</v>
      </c>
      <c r="O152" s="5" t="s">
        <v>146</v>
      </c>
      <c r="P152" s="45">
        <v>760.13</v>
      </c>
      <c r="Q152" s="47">
        <f t="shared" si="2"/>
        <v>808.64894587399999</v>
      </c>
      <c r="R152" s="4">
        <v>180</v>
      </c>
      <c r="S152" s="4">
        <v>12</v>
      </c>
    </row>
    <row r="153" spans="2:19" ht="11.25" x14ac:dyDescent="0.15">
      <c r="B153" s="3">
        <v>4218706</v>
      </c>
      <c r="C153" s="4">
        <v>142</v>
      </c>
      <c r="D153" s="6">
        <v>797</v>
      </c>
      <c r="E153" s="7"/>
      <c r="F153" s="7"/>
      <c r="G153" s="7" t="s">
        <v>1691</v>
      </c>
      <c r="H153" s="7" t="s">
        <v>1691</v>
      </c>
      <c r="I153" s="7"/>
      <c r="J153" s="7"/>
      <c r="K153" s="7"/>
      <c r="L153" s="7"/>
      <c r="M153" s="7" t="s">
        <v>1691</v>
      </c>
      <c r="N153" s="7" t="s">
        <v>1691</v>
      </c>
      <c r="O153" s="5" t="s">
        <v>147</v>
      </c>
      <c r="P153" s="45">
        <v>1294.06</v>
      </c>
      <c r="Q153" s="47">
        <f t="shared" si="2"/>
        <v>1376.6595909879998</v>
      </c>
      <c r="R153" s="4">
        <v>180</v>
      </c>
      <c r="S153" s="4">
        <v>12</v>
      </c>
    </row>
    <row r="154" spans="2:19" ht="11.25" x14ac:dyDescent="0.15">
      <c r="B154" s="3">
        <v>4218707</v>
      </c>
      <c r="C154" s="4">
        <v>143</v>
      </c>
      <c r="D154" s="6">
        <v>798</v>
      </c>
      <c r="E154" s="7"/>
      <c r="F154" s="7"/>
      <c r="G154" s="7" t="s">
        <v>1691</v>
      </c>
      <c r="H154" s="7" t="s">
        <v>1691</v>
      </c>
      <c r="I154" s="7"/>
      <c r="J154" s="7"/>
      <c r="K154" s="7"/>
      <c r="L154" s="7"/>
      <c r="M154" s="7" t="s">
        <v>1691</v>
      </c>
      <c r="N154" s="7" t="s">
        <v>1691</v>
      </c>
      <c r="O154" s="5" t="s">
        <v>148</v>
      </c>
      <c r="P154" s="45">
        <v>1618.2</v>
      </c>
      <c r="Q154" s="47">
        <f t="shared" si="2"/>
        <v>1721.48938236</v>
      </c>
      <c r="R154" s="4">
        <v>180</v>
      </c>
      <c r="S154" s="4">
        <v>12</v>
      </c>
    </row>
    <row r="155" spans="2:19" ht="11.25" x14ac:dyDescent="0.15">
      <c r="B155" s="3">
        <v>4218708</v>
      </c>
      <c r="C155" s="4">
        <v>144</v>
      </c>
      <c r="D155" s="6">
        <v>228</v>
      </c>
      <c r="E155" s="7"/>
      <c r="F155" s="7" t="s">
        <v>1691</v>
      </c>
      <c r="G155" s="7" t="s">
        <v>1691</v>
      </c>
      <c r="H155" s="7" t="s">
        <v>1691</v>
      </c>
      <c r="I155" s="7" t="s">
        <v>1691</v>
      </c>
      <c r="J155" s="7" t="s">
        <v>1691</v>
      </c>
      <c r="K155" s="7" t="s">
        <v>1691</v>
      </c>
      <c r="L155" s="7" t="s">
        <v>1691</v>
      </c>
      <c r="M155" s="7" t="s">
        <v>1691</v>
      </c>
      <c r="N155" s="7" t="s">
        <v>1691</v>
      </c>
      <c r="O155" s="5" t="s">
        <v>149</v>
      </c>
      <c r="P155" s="45">
        <v>1330.03</v>
      </c>
      <c r="Q155" s="47">
        <f t="shared" si="2"/>
        <v>1414.9255488939998</v>
      </c>
      <c r="R155" s="4">
        <v>180</v>
      </c>
      <c r="S155" s="4">
        <v>12</v>
      </c>
    </row>
    <row r="156" spans="2:19" ht="11.25" x14ac:dyDescent="0.15">
      <c r="B156" s="3">
        <v>4218709</v>
      </c>
      <c r="C156" s="4">
        <v>145</v>
      </c>
      <c r="D156" s="6">
        <v>766</v>
      </c>
      <c r="E156" s="7"/>
      <c r="F156" s="7" t="s">
        <v>1691</v>
      </c>
      <c r="G156" s="7" t="s">
        <v>1691</v>
      </c>
      <c r="H156" s="7" t="s">
        <v>1691</v>
      </c>
      <c r="I156" s="7" t="s">
        <v>1691</v>
      </c>
      <c r="J156" s="7" t="s">
        <v>1691</v>
      </c>
      <c r="K156" s="7" t="s">
        <v>1691</v>
      </c>
      <c r="L156" s="7" t="s">
        <v>1691</v>
      </c>
      <c r="M156" s="7" t="s">
        <v>1691</v>
      </c>
      <c r="N156" s="7" t="s">
        <v>1691</v>
      </c>
      <c r="O156" s="5" t="s">
        <v>150</v>
      </c>
      <c r="P156" s="45">
        <v>1208.29</v>
      </c>
      <c r="Q156" s="47">
        <f t="shared" si="2"/>
        <v>1285.4149090419999</v>
      </c>
      <c r="R156" s="4">
        <v>180</v>
      </c>
      <c r="S156" s="4">
        <v>12</v>
      </c>
    </row>
    <row r="157" spans="2:19" ht="11.25" x14ac:dyDescent="0.15">
      <c r="B157" s="3">
        <v>4218710</v>
      </c>
      <c r="C157" s="4">
        <v>146</v>
      </c>
      <c r="D157" s="6">
        <v>229</v>
      </c>
      <c r="E157" s="7" t="s">
        <v>152</v>
      </c>
      <c r="F157" s="7" t="s">
        <v>1691</v>
      </c>
      <c r="G157" s="7"/>
      <c r="H157" s="7"/>
      <c r="I157" s="7" t="s">
        <v>1691</v>
      </c>
      <c r="J157" s="7" t="s">
        <v>1691</v>
      </c>
      <c r="K157" s="7" t="s">
        <v>1691</v>
      </c>
      <c r="L157" s="7"/>
      <c r="M157" s="7"/>
      <c r="N157" s="7"/>
      <c r="O157" s="5" t="s">
        <v>151</v>
      </c>
      <c r="P157" s="45">
        <v>5653.61</v>
      </c>
      <c r="Q157" s="47">
        <f t="shared" si="2"/>
        <v>6014.4787955779993</v>
      </c>
      <c r="R157" s="4">
        <v>180</v>
      </c>
      <c r="S157" s="4">
        <v>12</v>
      </c>
    </row>
    <row r="158" spans="2:19" ht="11.25" x14ac:dyDescent="0.15">
      <c r="B158" s="3">
        <v>4218711</v>
      </c>
      <c r="C158" s="4">
        <v>147</v>
      </c>
      <c r="D158" s="6">
        <v>230</v>
      </c>
      <c r="E158" s="7"/>
      <c r="F158" s="7" t="s">
        <v>1691</v>
      </c>
      <c r="G158" s="7"/>
      <c r="H158" s="7"/>
      <c r="I158" s="7" t="s">
        <v>1691</v>
      </c>
      <c r="J158" s="7" t="s">
        <v>1691</v>
      </c>
      <c r="K158" s="7" t="s">
        <v>1691</v>
      </c>
      <c r="L158" s="7"/>
      <c r="M158" s="7"/>
      <c r="N158" s="7"/>
      <c r="O158" s="5" t="s">
        <v>153</v>
      </c>
      <c r="P158" s="45">
        <v>3578.28</v>
      </c>
      <c r="Q158" s="47">
        <f t="shared" si="2"/>
        <v>3806.6808967440002</v>
      </c>
      <c r="R158" s="4">
        <v>180</v>
      </c>
      <c r="S158" s="4">
        <v>12</v>
      </c>
    </row>
    <row r="159" spans="2:19" ht="11.25" x14ac:dyDescent="0.15">
      <c r="B159" s="3">
        <v>4218712</v>
      </c>
      <c r="C159" s="4">
        <v>148</v>
      </c>
      <c r="D159" s="6">
        <v>231</v>
      </c>
      <c r="E159" s="7"/>
      <c r="F159" s="7"/>
      <c r="G159" s="7"/>
      <c r="H159" s="7"/>
      <c r="I159" s="7"/>
      <c r="J159" s="7" t="s">
        <v>1691</v>
      </c>
      <c r="K159" s="7" t="s">
        <v>1691</v>
      </c>
      <c r="L159" s="7"/>
      <c r="M159" s="7"/>
      <c r="N159" s="7"/>
      <c r="O159" s="5" t="s">
        <v>154</v>
      </c>
      <c r="P159" s="45">
        <v>4395.47</v>
      </c>
      <c r="Q159" s="47">
        <f t="shared" si="2"/>
        <v>4676.0319710060003</v>
      </c>
      <c r="R159" s="4">
        <v>180</v>
      </c>
      <c r="S159" s="4">
        <v>12</v>
      </c>
    </row>
    <row r="160" spans="2:19" ht="11.25" x14ac:dyDescent="0.15">
      <c r="B160" s="3">
        <v>4218713</v>
      </c>
      <c r="C160" s="4">
        <v>149</v>
      </c>
      <c r="D160" s="6">
        <v>233</v>
      </c>
      <c r="E160" s="7"/>
      <c r="F160" s="7" t="s">
        <v>1691</v>
      </c>
      <c r="G160" s="7"/>
      <c r="H160" s="7"/>
      <c r="I160" s="7" t="s">
        <v>1691</v>
      </c>
      <c r="J160" s="7" t="s">
        <v>1691</v>
      </c>
      <c r="K160" s="7" t="s">
        <v>1691</v>
      </c>
      <c r="L160" s="7"/>
      <c r="M160" s="7"/>
      <c r="N160" s="7"/>
      <c r="O160" s="5" t="s">
        <v>155</v>
      </c>
      <c r="P160" s="45">
        <v>1965.2</v>
      </c>
      <c r="Q160" s="47">
        <f t="shared" si="2"/>
        <v>2090.6383229600001</v>
      </c>
      <c r="R160" s="4">
        <v>180</v>
      </c>
      <c r="S160" s="4">
        <v>12</v>
      </c>
    </row>
    <row r="161" spans="2:19" ht="11.25" x14ac:dyDescent="0.15">
      <c r="B161" s="3">
        <v>4218714</v>
      </c>
      <c r="C161" s="4">
        <v>150</v>
      </c>
      <c r="D161" s="6">
        <v>239</v>
      </c>
      <c r="E161" s="7"/>
      <c r="F161" s="7"/>
      <c r="G161" s="7" t="s">
        <v>1691</v>
      </c>
      <c r="H161" s="7" t="s">
        <v>1691</v>
      </c>
      <c r="I161" s="7"/>
      <c r="J161" s="7"/>
      <c r="K161" s="7"/>
      <c r="L161" s="7"/>
      <c r="M161" s="7" t="s">
        <v>1691</v>
      </c>
      <c r="N161" s="7" t="s">
        <v>1691</v>
      </c>
      <c r="O161" s="5" t="s">
        <v>156</v>
      </c>
      <c r="P161" s="45">
        <v>212.34</v>
      </c>
      <c r="Q161" s="47">
        <f t="shared" si="2"/>
        <v>225.89361973199999</v>
      </c>
      <c r="R161" s="4">
        <v>180</v>
      </c>
      <c r="S161" s="4">
        <v>12</v>
      </c>
    </row>
    <row r="162" spans="2:19" ht="11.25" x14ac:dyDescent="0.15">
      <c r="B162" s="3">
        <v>4218715</v>
      </c>
      <c r="C162" s="4">
        <v>151</v>
      </c>
      <c r="D162" s="6">
        <v>240</v>
      </c>
      <c r="E162" s="7"/>
      <c r="F162" s="7"/>
      <c r="G162" s="7"/>
      <c r="H162" s="7" t="s">
        <v>1691</v>
      </c>
      <c r="I162" s="7"/>
      <c r="J162" s="7"/>
      <c r="K162" s="7"/>
      <c r="L162" s="7"/>
      <c r="M162" s="7"/>
      <c r="N162" s="7" t="s">
        <v>1691</v>
      </c>
      <c r="O162" s="5" t="s">
        <v>157</v>
      </c>
      <c r="P162" s="45">
        <v>225.35</v>
      </c>
      <c r="Q162" s="47">
        <f t="shared" si="2"/>
        <v>239.73404542999998</v>
      </c>
      <c r="R162" s="4">
        <v>180</v>
      </c>
      <c r="S162" s="4">
        <v>12</v>
      </c>
    </row>
    <row r="163" spans="2:19" ht="11.25" x14ac:dyDescent="0.15">
      <c r="B163" s="3">
        <v>4218716</v>
      </c>
      <c r="C163" s="4">
        <v>152</v>
      </c>
      <c r="D163" s="6">
        <v>258</v>
      </c>
      <c r="E163" s="7"/>
      <c r="F163" s="7" t="s">
        <v>1691</v>
      </c>
      <c r="G163" s="7"/>
      <c r="H163" s="7"/>
      <c r="I163" s="7" t="s">
        <v>1691</v>
      </c>
      <c r="J163" s="7" t="s">
        <v>1691</v>
      </c>
      <c r="K163" s="7" t="s">
        <v>1691</v>
      </c>
      <c r="L163" s="7" t="s">
        <v>1691</v>
      </c>
      <c r="M163" s="7"/>
      <c r="N163" s="7"/>
      <c r="O163" s="5" t="s">
        <v>158</v>
      </c>
      <c r="P163" s="45">
        <v>80.819999999999993</v>
      </c>
      <c r="Q163" s="47">
        <f t="shared" si="2"/>
        <v>85.978724435999993</v>
      </c>
      <c r="R163" s="4">
        <v>180</v>
      </c>
      <c r="S163" s="4">
        <v>12</v>
      </c>
    </row>
    <row r="164" spans="2:19" ht="11.25" x14ac:dyDescent="0.15">
      <c r="B164" s="3">
        <v>4218717</v>
      </c>
      <c r="C164" s="4">
        <v>153</v>
      </c>
      <c r="D164" s="6">
        <v>264</v>
      </c>
      <c r="E164" s="7"/>
      <c r="F164" s="7" t="s">
        <v>1691</v>
      </c>
      <c r="G164" s="7"/>
      <c r="H164" s="7"/>
      <c r="I164" s="7" t="s">
        <v>1691</v>
      </c>
      <c r="J164" s="7" t="s">
        <v>1691</v>
      </c>
      <c r="K164" s="7"/>
      <c r="L164" s="7"/>
      <c r="M164" s="7"/>
      <c r="N164" s="7"/>
      <c r="O164" s="5" t="s">
        <v>159</v>
      </c>
      <c r="P164" s="45">
        <v>6903.3</v>
      </c>
      <c r="Q164" s="47">
        <f t="shared" si="2"/>
        <v>7343.9362583399998</v>
      </c>
      <c r="R164" s="4">
        <v>180</v>
      </c>
      <c r="S164" s="4">
        <v>12</v>
      </c>
    </row>
    <row r="165" spans="2:19" ht="11.25" x14ac:dyDescent="0.15">
      <c r="B165" s="3">
        <v>4218718</v>
      </c>
      <c r="C165" s="4">
        <v>154</v>
      </c>
      <c r="D165" s="6">
        <v>265</v>
      </c>
      <c r="E165" s="7"/>
      <c r="F165" s="7" t="s">
        <v>1691</v>
      </c>
      <c r="G165" s="7"/>
      <c r="H165" s="7"/>
      <c r="I165" s="7" t="s">
        <v>1691</v>
      </c>
      <c r="J165" s="7" t="s">
        <v>1691</v>
      </c>
      <c r="K165" s="7"/>
      <c r="L165" s="7"/>
      <c r="M165" s="7"/>
      <c r="N165" s="7"/>
      <c r="O165" s="5" t="s">
        <v>160</v>
      </c>
      <c r="P165" s="45">
        <v>19998.39</v>
      </c>
      <c r="Q165" s="47">
        <f t="shared" si="2"/>
        <v>21274.883234022</v>
      </c>
      <c r="R165" s="4">
        <v>180</v>
      </c>
      <c r="S165" s="4">
        <v>12</v>
      </c>
    </row>
    <row r="166" spans="2:19" ht="11.25" x14ac:dyDescent="0.15">
      <c r="B166" s="3">
        <v>4218719</v>
      </c>
      <c r="C166" s="4">
        <v>155</v>
      </c>
      <c r="D166" s="6">
        <v>632</v>
      </c>
      <c r="E166" s="7"/>
      <c r="F166" s="7"/>
      <c r="G166" s="7" t="s">
        <v>1691</v>
      </c>
      <c r="H166" s="7" t="s">
        <v>1691</v>
      </c>
      <c r="I166" s="7"/>
      <c r="J166" s="7"/>
      <c r="K166" s="7"/>
      <c r="L166" s="8" t="s">
        <v>1691</v>
      </c>
      <c r="M166" s="7" t="s">
        <v>1691</v>
      </c>
      <c r="N166" s="7" t="s">
        <v>1691</v>
      </c>
      <c r="O166" s="5" t="s">
        <v>161</v>
      </c>
      <c r="P166" s="45">
        <v>17476.560000000001</v>
      </c>
      <c r="Q166" s="47">
        <f t="shared" si="2"/>
        <v>18592.085329488</v>
      </c>
      <c r="R166" s="4">
        <v>180</v>
      </c>
      <c r="S166" s="4">
        <v>12</v>
      </c>
    </row>
    <row r="167" spans="2:19" ht="11.25" x14ac:dyDescent="0.15">
      <c r="B167" s="3">
        <v>4218720</v>
      </c>
      <c r="C167" s="4">
        <v>156</v>
      </c>
      <c r="D167" s="6">
        <v>266</v>
      </c>
      <c r="E167" s="7"/>
      <c r="F167" s="7" t="s">
        <v>1691</v>
      </c>
      <c r="G167" s="7" t="s">
        <v>1691</v>
      </c>
      <c r="H167" s="7" t="s">
        <v>1691</v>
      </c>
      <c r="I167" s="7" t="s">
        <v>1691</v>
      </c>
      <c r="J167" s="7" t="s">
        <v>1691</v>
      </c>
      <c r="K167" s="7" t="s">
        <v>1691</v>
      </c>
      <c r="L167" s="7" t="s">
        <v>1691</v>
      </c>
      <c r="M167" s="7" t="s">
        <v>1691</v>
      </c>
      <c r="N167" s="7" t="s">
        <v>1691</v>
      </c>
      <c r="O167" s="5" t="s">
        <v>162</v>
      </c>
      <c r="P167" s="45">
        <v>919.42</v>
      </c>
      <c r="Q167" s="47">
        <f t="shared" si="2"/>
        <v>978.10639471599995</v>
      </c>
      <c r="R167" s="4">
        <v>180</v>
      </c>
      <c r="S167" s="4">
        <v>12</v>
      </c>
    </row>
    <row r="168" spans="2:19" ht="11.25" x14ac:dyDescent="0.15">
      <c r="B168" s="3">
        <v>4218721</v>
      </c>
      <c r="C168" s="4">
        <v>157</v>
      </c>
      <c r="D168" s="6">
        <v>267</v>
      </c>
      <c r="E168" s="7"/>
      <c r="F168" s="7" t="s">
        <v>1691</v>
      </c>
      <c r="G168" s="7" t="s">
        <v>1691</v>
      </c>
      <c r="H168" s="7" t="s">
        <v>1691</v>
      </c>
      <c r="I168" s="7"/>
      <c r="J168" s="7" t="s">
        <v>1691</v>
      </c>
      <c r="K168" s="7" t="s">
        <v>1691</v>
      </c>
      <c r="L168" s="7" t="s">
        <v>1691</v>
      </c>
      <c r="M168" s="7" t="s">
        <v>1691</v>
      </c>
      <c r="N168" s="7" t="s">
        <v>1691</v>
      </c>
      <c r="O168" s="5" t="s">
        <v>163</v>
      </c>
      <c r="P168" s="45">
        <v>4290.3100000000004</v>
      </c>
      <c r="Q168" s="47">
        <f t="shared" si="2"/>
        <v>4564.159629238</v>
      </c>
      <c r="R168" s="4">
        <v>180</v>
      </c>
      <c r="S168" s="4">
        <v>12</v>
      </c>
    </row>
    <row r="169" spans="2:19" ht="11.25" x14ac:dyDescent="0.15">
      <c r="B169" s="3">
        <v>4218722</v>
      </c>
      <c r="C169" s="4">
        <v>158</v>
      </c>
      <c r="D169" s="6">
        <v>268</v>
      </c>
      <c r="E169" s="7"/>
      <c r="F169" s="7" t="s">
        <v>1691</v>
      </c>
      <c r="G169" s="7" t="s">
        <v>1691</v>
      </c>
      <c r="H169" s="7" t="s">
        <v>1691</v>
      </c>
      <c r="I169" s="7" t="s">
        <v>1691</v>
      </c>
      <c r="J169" s="7" t="s">
        <v>1691</v>
      </c>
      <c r="K169" s="7" t="s">
        <v>1691</v>
      </c>
      <c r="L169" s="7"/>
      <c r="M169" s="7" t="s">
        <v>1691</v>
      </c>
      <c r="N169" s="7" t="s">
        <v>1691</v>
      </c>
      <c r="O169" s="5" t="s">
        <v>164</v>
      </c>
      <c r="P169" s="45">
        <v>1908.3</v>
      </c>
      <c r="Q169" s="47">
        <f t="shared" si="2"/>
        <v>2030.1064073399998</v>
      </c>
      <c r="R169" s="4">
        <v>180</v>
      </c>
      <c r="S169" s="4">
        <v>12</v>
      </c>
    </row>
    <row r="170" spans="2:19" ht="11.25" x14ac:dyDescent="0.15">
      <c r="B170" s="3">
        <v>4218723</v>
      </c>
      <c r="C170" s="4">
        <v>159</v>
      </c>
      <c r="D170" s="6">
        <v>269</v>
      </c>
      <c r="E170" s="7"/>
      <c r="F170" s="7"/>
      <c r="G170" s="7" t="s">
        <v>1691</v>
      </c>
      <c r="H170" s="7" t="s">
        <v>1691</v>
      </c>
      <c r="I170" s="7"/>
      <c r="J170" s="7"/>
      <c r="K170" s="7"/>
      <c r="L170" s="7"/>
      <c r="M170" s="7" t="s">
        <v>1691</v>
      </c>
      <c r="N170" s="7" t="s">
        <v>1691</v>
      </c>
      <c r="O170" s="5" t="s">
        <v>165</v>
      </c>
      <c r="P170" s="45">
        <v>10999.5</v>
      </c>
      <c r="Q170" s="47">
        <f t="shared" si="2"/>
        <v>11701.5958851</v>
      </c>
      <c r="R170" s="4">
        <v>180</v>
      </c>
      <c r="S170" s="4">
        <v>12</v>
      </c>
    </row>
    <row r="171" spans="2:19" ht="11.25" x14ac:dyDescent="0.15">
      <c r="B171" s="3">
        <v>4218724</v>
      </c>
      <c r="C171" s="4">
        <v>160</v>
      </c>
      <c r="D171" s="6">
        <v>270</v>
      </c>
      <c r="E171" s="7"/>
      <c r="F171" s="7" t="s">
        <v>1691</v>
      </c>
      <c r="G171" s="7"/>
      <c r="H171" s="7"/>
      <c r="I171" s="7" t="s">
        <v>1691</v>
      </c>
      <c r="J171" s="7" t="s">
        <v>1691</v>
      </c>
      <c r="K171" s="7"/>
      <c r="L171" s="7"/>
      <c r="M171" s="7"/>
      <c r="N171" s="7"/>
      <c r="O171" s="5" t="s">
        <v>166</v>
      </c>
      <c r="P171" s="45">
        <v>118.99</v>
      </c>
      <c r="Q171" s="47">
        <f t="shared" si="2"/>
        <v>126.58510790199999</v>
      </c>
      <c r="R171" s="4">
        <v>180</v>
      </c>
      <c r="S171" s="4">
        <v>12</v>
      </c>
    </row>
    <row r="172" spans="2:19" ht="11.25" x14ac:dyDescent="0.15">
      <c r="B172" s="3">
        <v>4218725</v>
      </c>
      <c r="C172" s="4">
        <v>161</v>
      </c>
      <c r="D172" s="6">
        <v>278</v>
      </c>
      <c r="E172" s="7"/>
      <c r="F172" s="7" t="s">
        <v>1691</v>
      </c>
      <c r="G172" s="7"/>
      <c r="H172" s="7"/>
      <c r="I172" s="7" t="s">
        <v>1691</v>
      </c>
      <c r="J172" s="7" t="s">
        <v>1691</v>
      </c>
      <c r="K172" s="7" t="s">
        <v>1691</v>
      </c>
      <c r="L172" s="7"/>
      <c r="M172" s="7"/>
      <c r="N172" s="7"/>
      <c r="O172" s="5" t="s">
        <v>167</v>
      </c>
      <c r="P172" s="45">
        <v>2313.81</v>
      </c>
      <c r="Q172" s="47">
        <f t="shared" si="2"/>
        <v>2461.5000295379996</v>
      </c>
      <c r="R172" s="4">
        <v>180</v>
      </c>
      <c r="S172" s="4">
        <v>12</v>
      </c>
    </row>
    <row r="173" spans="2:19" ht="11.25" x14ac:dyDescent="0.15">
      <c r="B173" s="3">
        <v>4218726</v>
      </c>
      <c r="C173" s="4">
        <v>162</v>
      </c>
      <c r="D173" s="6">
        <v>282</v>
      </c>
      <c r="E173" s="7"/>
      <c r="F173" s="7" t="s">
        <v>1691</v>
      </c>
      <c r="G173" s="7" t="s">
        <v>1691</v>
      </c>
      <c r="H173" s="8" t="s">
        <v>1691</v>
      </c>
      <c r="I173" s="7" t="s">
        <v>1691</v>
      </c>
      <c r="J173" s="7" t="s">
        <v>1691</v>
      </c>
      <c r="K173" s="7" t="s">
        <v>1691</v>
      </c>
      <c r="L173" s="7" t="s">
        <v>1691</v>
      </c>
      <c r="M173" s="7" t="s">
        <v>1691</v>
      </c>
      <c r="N173" s="7" t="s">
        <v>1691</v>
      </c>
      <c r="O173" s="5" t="s">
        <v>168</v>
      </c>
      <c r="P173" s="45">
        <v>45.97</v>
      </c>
      <c r="Q173" s="47">
        <f t="shared" si="2"/>
        <v>48.904255905999996</v>
      </c>
      <c r="R173" s="4">
        <v>180</v>
      </c>
      <c r="S173" s="4">
        <v>12</v>
      </c>
    </row>
    <row r="174" spans="2:19" ht="11.25" x14ac:dyDescent="0.15">
      <c r="B174" s="3">
        <v>4218727</v>
      </c>
      <c r="C174" s="4">
        <v>163</v>
      </c>
      <c r="D174" s="6">
        <v>284</v>
      </c>
      <c r="E174" s="7"/>
      <c r="F174" s="7" t="s">
        <v>1691</v>
      </c>
      <c r="G174" s="7"/>
      <c r="H174" s="7"/>
      <c r="I174" s="7"/>
      <c r="J174" s="7" t="s">
        <v>1691</v>
      </c>
      <c r="K174" s="7" t="s">
        <v>1691</v>
      </c>
      <c r="L174" s="7" t="s">
        <v>1691</v>
      </c>
      <c r="M174" s="7"/>
      <c r="N174" s="7"/>
      <c r="O174" s="5" t="s">
        <v>169</v>
      </c>
      <c r="P174" s="45">
        <v>1083.22</v>
      </c>
      <c r="Q174" s="47">
        <f t="shared" si="2"/>
        <v>1152.3617159559999</v>
      </c>
      <c r="R174" s="4">
        <v>180</v>
      </c>
      <c r="S174" s="4">
        <v>12</v>
      </c>
    </row>
    <row r="175" spans="2:19" ht="11.25" x14ac:dyDescent="0.15">
      <c r="B175" s="3">
        <v>4218728</v>
      </c>
      <c r="C175" s="4">
        <v>164</v>
      </c>
      <c r="D175" s="6">
        <v>285</v>
      </c>
      <c r="E175" s="7"/>
      <c r="F175" s="7" t="s">
        <v>1691</v>
      </c>
      <c r="G175" s="8" t="s">
        <v>1691</v>
      </c>
      <c r="H175" s="7" t="s">
        <v>1691</v>
      </c>
      <c r="I175" s="7"/>
      <c r="J175" s="7" t="s">
        <v>1691</v>
      </c>
      <c r="K175" s="7" t="s">
        <v>1691</v>
      </c>
      <c r="M175" s="7" t="s">
        <v>1691</v>
      </c>
      <c r="N175" s="7" t="s">
        <v>1691</v>
      </c>
      <c r="O175" s="5" t="s">
        <v>170</v>
      </c>
      <c r="P175" s="45">
        <v>2545.9699999999998</v>
      </c>
      <c r="Q175" s="47">
        <f t="shared" si="2"/>
        <v>2708.4787559059996</v>
      </c>
      <c r="R175" s="4">
        <v>180</v>
      </c>
      <c r="S175" s="4">
        <v>12</v>
      </c>
    </row>
    <row r="176" spans="2:19" ht="11.25" x14ac:dyDescent="0.15">
      <c r="B176" s="3">
        <v>4218729</v>
      </c>
      <c r="C176" s="4">
        <v>165</v>
      </c>
      <c r="D176" s="6">
        <v>750</v>
      </c>
      <c r="E176" s="7"/>
      <c r="F176" s="7" t="s">
        <v>1691</v>
      </c>
      <c r="G176" s="7"/>
      <c r="H176" s="7"/>
      <c r="I176" s="7" t="s">
        <v>1691</v>
      </c>
      <c r="J176" s="7" t="s">
        <v>1691</v>
      </c>
      <c r="K176" s="7" t="s">
        <v>1691</v>
      </c>
      <c r="L176" s="7"/>
      <c r="M176" s="7"/>
      <c r="N176" s="7"/>
      <c r="O176" s="5" t="s">
        <v>171</v>
      </c>
      <c r="P176" s="45">
        <v>337.99</v>
      </c>
      <c r="Q176" s="47">
        <f t="shared" si="2"/>
        <v>359.56383410199999</v>
      </c>
      <c r="R176" s="4">
        <v>180</v>
      </c>
      <c r="S176" s="4">
        <v>12</v>
      </c>
    </row>
    <row r="177" spans="2:19" ht="11.25" x14ac:dyDescent="0.15">
      <c r="B177" s="3">
        <v>4218730</v>
      </c>
      <c r="C177" s="4">
        <v>166</v>
      </c>
      <c r="D177" s="6">
        <v>751</v>
      </c>
      <c r="E177" s="7"/>
      <c r="F177" s="7" t="s">
        <v>1691</v>
      </c>
      <c r="G177" s="7"/>
      <c r="H177" s="7"/>
      <c r="I177" s="7" t="s">
        <v>1691</v>
      </c>
      <c r="J177" s="7" t="s">
        <v>1691</v>
      </c>
      <c r="K177" s="7" t="s">
        <v>1691</v>
      </c>
      <c r="L177" s="7"/>
      <c r="M177" s="7"/>
      <c r="N177" s="7"/>
      <c r="O177" s="5" t="s">
        <v>172</v>
      </c>
      <c r="P177" s="45">
        <v>287.32</v>
      </c>
      <c r="Q177" s="47">
        <f t="shared" si="2"/>
        <v>305.65957813599999</v>
      </c>
      <c r="R177" s="4">
        <v>180</v>
      </c>
      <c r="S177" s="4">
        <v>12</v>
      </c>
    </row>
    <row r="178" spans="2:19" ht="11.25" x14ac:dyDescent="0.15">
      <c r="B178" s="3">
        <v>4218731</v>
      </c>
      <c r="C178" s="4">
        <v>167</v>
      </c>
      <c r="D178" s="6">
        <v>286</v>
      </c>
      <c r="E178" s="7"/>
      <c r="F178" s="7"/>
      <c r="G178" s="7"/>
      <c r="H178" s="7"/>
      <c r="I178" s="7"/>
      <c r="J178" s="7"/>
      <c r="K178" s="7" t="s">
        <v>1691</v>
      </c>
      <c r="L178" s="7" t="s">
        <v>1691</v>
      </c>
      <c r="M178" s="7"/>
      <c r="N178" s="7"/>
      <c r="O178" s="5" t="s">
        <v>173</v>
      </c>
      <c r="P178" s="45">
        <v>1649.57</v>
      </c>
      <c r="Q178" s="47">
        <f t="shared" si="2"/>
        <v>1754.8617231859998</v>
      </c>
      <c r="R178" s="4">
        <v>180</v>
      </c>
      <c r="S178" s="4">
        <v>12</v>
      </c>
    </row>
    <row r="179" spans="2:19" ht="11.25" x14ac:dyDescent="0.15">
      <c r="B179" s="3">
        <v>4218732</v>
      </c>
      <c r="C179" s="4">
        <v>168</v>
      </c>
      <c r="D179" s="6">
        <v>287</v>
      </c>
      <c r="E179" s="7"/>
      <c r="F179" s="7" t="s">
        <v>1691</v>
      </c>
      <c r="G179" s="7" t="s">
        <v>1691</v>
      </c>
      <c r="H179" s="7" t="s">
        <v>1691</v>
      </c>
      <c r="I179" s="7"/>
      <c r="J179" s="7" t="s">
        <v>1691</v>
      </c>
      <c r="K179" s="7" t="s">
        <v>1691</v>
      </c>
      <c r="L179" s="7" t="s">
        <v>1691</v>
      </c>
      <c r="M179" s="7" t="s">
        <v>1691</v>
      </c>
      <c r="N179" s="7" t="s">
        <v>1691</v>
      </c>
      <c r="O179" s="5" t="s">
        <v>174</v>
      </c>
      <c r="P179" s="45">
        <v>1965.58</v>
      </c>
      <c r="Q179" s="47">
        <f t="shared" si="2"/>
        <v>2091.0425782839998</v>
      </c>
      <c r="R179" s="4">
        <v>180</v>
      </c>
      <c r="S179" s="4">
        <v>12</v>
      </c>
    </row>
    <row r="180" spans="2:19" ht="11.25" x14ac:dyDescent="0.15">
      <c r="B180" s="3">
        <v>4218733</v>
      </c>
      <c r="C180" s="4">
        <v>169</v>
      </c>
      <c r="D180" s="6">
        <v>288</v>
      </c>
      <c r="E180" s="7"/>
      <c r="F180" s="7" t="s">
        <v>1691</v>
      </c>
      <c r="G180" s="7"/>
      <c r="H180" s="7"/>
      <c r="I180" s="7"/>
      <c r="J180" s="7"/>
      <c r="K180" s="7"/>
      <c r="L180" s="7"/>
      <c r="M180" s="7"/>
      <c r="N180" s="7"/>
      <c r="O180" s="5" t="s">
        <v>175</v>
      </c>
      <c r="P180" s="45">
        <v>879.09</v>
      </c>
      <c r="Q180" s="47">
        <f t="shared" si="2"/>
        <v>935.20213888199999</v>
      </c>
      <c r="R180" s="4">
        <v>180</v>
      </c>
      <c r="S180" s="4">
        <v>12</v>
      </c>
    </row>
    <row r="181" spans="2:19" ht="11.25" x14ac:dyDescent="0.15">
      <c r="B181" s="3">
        <v>4218734</v>
      </c>
      <c r="C181" s="4">
        <v>170</v>
      </c>
      <c r="D181" s="6">
        <v>289</v>
      </c>
      <c r="E181" s="7"/>
      <c r="F181" s="7" t="s">
        <v>1691</v>
      </c>
      <c r="G181" s="7" t="s">
        <v>1691</v>
      </c>
      <c r="H181" s="7" t="s">
        <v>1691</v>
      </c>
      <c r="I181" s="7" t="s">
        <v>1691</v>
      </c>
      <c r="J181" s="7" t="s">
        <v>1691</v>
      </c>
      <c r="K181" s="7" t="s">
        <v>1691</v>
      </c>
      <c r="L181" s="7" t="s">
        <v>1691</v>
      </c>
      <c r="M181" s="7" t="s">
        <v>1691</v>
      </c>
      <c r="N181" s="7" t="s">
        <v>1691</v>
      </c>
      <c r="O181" s="5" t="s">
        <v>176</v>
      </c>
      <c r="P181" s="45">
        <v>1293.51</v>
      </c>
      <c r="Q181" s="47">
        <f t="shared" si="2"/>
        <v>1376.0744845979998</v>
      </c>
      <c r="R181" s="4">
        <v>180</v>
      </c>
      <c r="S181" s="4">
        <v>12</v>
      </c>
    </row>
    <row r="182" spans="2:19" ht="11.25" x14ac:dyDescent="0.15">
      <c r="B182" s="3">
        <v>4218735</v>
      </c>
      <c r="C182" s="4">
        <v>171</v>
      </c>
      <c r="D182" s="6">
        <v>290</v>
      </c>
      <c r="E182" s="7"/>
      <c r="F182" s="7" t="s">
        <v>1691</v>
      </c>
      <c r="G182" s="7" t="s">
        <v>1691</v>
      </c>
      <c r="H182" s="7" t="s">
        <v>1691</v>
      </c>
      <c r="I182" s="7" t="s">
        <v>1691</v>
      </c>
      <c r="J182" s="7" t="s">
        <v>1691</v>
      </c>
      <c r="K182" s="7" t="s">
        <v>1691</v>
      </c>
      <c r="L182" s="7" t="s">
        <v>1691</v>
      </c>
      <c r="M182" s="7" t="s">
        <v>1691</v>
      </c>
      <c r="N182" s="7" t="s">
        <v>1691</v>
      </c>
      <c r="O182" s="5" t="s">
        <v>177</v>
      </c>
      <c r="P182" s="45">
        <v>17.8</v>
      </c>
      <c r="Q182" s="47">
        <f t="shared" si="2"/>
        <v>18.936170439999998</v>
      </c>
      <c r="R182" s="4">
        <v>180</v>
      </c>
      <c r="S182" s="4">
        <v>12</v>
      </c>
    </row>
    <row r="183" spans="2:19" ht="11.25" x14ac:dyDescent="0.15">
      <c r="B183" s="3">
        <v>4218736</v>
      </c>
      <c r="C183" s="4">
        <v>172</v>
      </c>
      <c r="D183" s="6">
        <v>293</v>
      </c>
      <c r="E183" s="7"/>
      <c r="F183" s="7" t="s">
        <v>1691</v>
      </c>
      <c r="G183" s="7"/>
      <c r="H183" s="7"/>
      <c r="I183" s="7" t="s">
        <v>1691</v>
      </c>
      <c r="J183" s="7"/>
      <c r="K183" s="7"/>
      <c r="L183" s="7"/>
      <c r="M183" s="7"/>
      <c r="N183" s="7"/>
      <c r="O183" s="5" t="s">
        <v>178</v>
      </c>
      <c r="P183" s="45">
        <v>817.19</v>
      </c>
      <c r="Q183" s="47">
        <f t="shared" si="2"/>
        <v>869.351074262</v>
      </c>
      <c r="R183" s="4">
        <v>180</v>
      </c>
      <c r="S183" s="4">
        <v>12</v>
      </c>
    </row>
    <row r="184" spans="2:19" ht="11.25" x14ac:dyDescent="0.15">
      <c r="B184" s="3">
        <v>4218737</v>
      </c>
      <c r="C184" s="4">
        <v>173</v>
      </c>
      <c r="D184" s="6">
        <v>294</v>
      </c>
      <c r="E184" s="7"/>
      <c r="F184" s="7" t="s">
        <v>1691</v>
      </c>
      <c r="G184" s="7"/>
      <c r="H184" s="7"/>
      <c r="I184" s="7" t="s">
        <v>1691</v>
      </c>
      <c r="J184" s="7"/>
      <c r="K184" s="7"/>
      <c r="L184" s="7"/>
      <c r="M184" s="7"/>
      <c r="N184" s="7"/>
      <c r="O184" s="5" t="s">
        <v>179</v>
      </c>
      <c r="P184" s="45">
        <v>848.14</v>
      </c>
      <c r="Q184" s="47">
        <f t="shared" si="2"/>
        <v>902.27660657199988</v>
      </c>
      <c r="R184" s="4">
        <v>180</v>
      </c>
      <c r="S184" s="4">
        <v>12</v>
      </c>
    </row>
    <row r="185" spans="2:19" ht="11.25" x14ac:dyDescent="0.15">
      <c r="B185" s="3">
        <v>4218738</v>
      </c>
      <c r="C185" s="4">
        <v>174</v>
      </c>
      <c r="D185" s="6">
        <v>297</v>
      </c>
      <c r="E185" s="7"/>
      <c r="F185" s="7"/>
      <c r="G185" s="7" t="s">
        <v>1691</v>
      </c>
      <c r="H185" s="7" t="s">
        <v>1691</v>
      </c>
      <c r="I185" s="7"/>
      <c r="J185" s="7" t="s">
        <v>1691</v>
      </c>
      <c r="K185" s="7" t="s">
        <v>1691</v>
      </c>
      <c r="L185" s="7" t="s">
        <v>1691</v>
      </c>
      <c r="M185" s="7" t="s">
        <v>1691</v>
      </c>
      <c r="N185" s="7" t="s">
        <v>1691</v>
      </c>
      <c r="O185" s="5" t="s">
        <v>180</v>
      </c>
      <c r="P185" s="45">
        <v>1815.45</v>
      </c>
      <c r="Q185" s="47">
        <f t="shared" si="2"/>
        <v>1931.3298104099999</v>
      </c>
      <c r="R185" s="4">
        <v>180</v>
      </c>
      <c r="S185" s="4">
        <v>12</v>
      </c>
    </row>
    <row r="186" spans="2:19" ht="11.25" x14ac:dyDescent="0.15">
      <c r="B186" s="3">
        <v>4218739</v>
      </c>
      <c r="C186" s="4">
        <v>175</v>
      </c>
      <c r="D186" s="6">
        <v>298</v>
      </c>
      <c r="E186" s="7"/>
      <c r="F186" s="7"/>
      <c r="G186" s="7" t="s">
        <v>1691</v>
      </c>
      <c r="H186" s="7" t="s">
        <v>1691</v>
      </c>
      <c r="I186" s="7"/>
      <c r="J186" s="7" t="s">
        <v>1691</v>
      </c>
      <c r="K186" s="7" t="s">
        <v>1691</v>
      </c>
      <c r="L186" s="7" t="s">
        <v>1691</v>
      </c>
      <c r="M186" s="7" t="s">
        <v>1691</v>
      </c>
      <c r="N186" s="7" t="s">
        <v>1691</v>
      </c>
      <c r="O186" s="5" t="s">
        <v>181</v>
      </c>
      <c r="P186" s="45">
        <v>2066.1799999999998</v>
      </c>
      <c r="Q186" s="47">
        <f t="shared" si="2"/>
        <v>2198.0638561639998</v>
      </c>
      <c r="R186" s="4">
        <v>180</v>
      </c>
      <c r="S186" s="4">
        <v>12</v>
      </c>
    </row>
    <row r="187" spans="2:19" ht="11.25" x14ac:dyDescent="0.15">
      <c r="B187" s="3">
        <v>4218740</v>
      </c>
      <c r="C187" s="4">
        <v>176</v>
      </c>
      <c r="D187" s="6">
        <v>299</v>
      </c>
      <c r="E187" s="7"/>
      <c r="F187" s="7" t="s">
        <v>1691</v>
      </c>
      <c r="G187" s="7"/>
      <c r="H187" s="7"/>
      <c r="I187" s="7" t="s">
        <v>1691</v>
      </c>
      <c r="J187" s="7" t="s">
        <v>1691</v>
      </c>
      <c r="K187" s="7" t="s">
        <v>1691</v>
      </c>
      <c r="L187" s="7" t="s">
        <v>1691</v>
      </c>
      <c r="M187" s="7"/>
      <c r="N187" s="7"/>
      <c r="O187" s="5" t="s">
        <v>182</v>
      </c>
      <c r="P187" s="45">
        <v>1083.3900000000001</v>
      </c>
      <c r="Q187" s="47">
        <f t="shared" si="2"/>
        <v>1152.542567022</v>
      </c>
      <c r="R187" s="4">
        <v>180</v>
      </c>
      <c r="S187" s="4">
        <v>12</v>
      </c>
    </row>
    <row r="188" spans="2:19" ht="11.25" x14ac:dyDescent="0.15">
      <c r="B188" s="3">
        <v>4218741</v>
      </c>
      <c r="C188" s="4">
        <v>177</v>
      </c>
      <c r="D188" s="6">
        <v>654</v>
      </c>
      <c r="E188" s="7"/>
      <c r="F188" s="7"/>
      <c r="G188" s="7" t="s">
        <v>1691</v>
      </c>
      <c r="H188" s="7" t="s">
        <v>1691</v>
      </c>
      <c r="I188" s="7"/>
      <c r="J188" s="7"/>
      <c r="K188" s="7"/>
      <c r="L188" s="7"/>
      <c r="M188" s="7" t="s">
        <v>1691</v>
      </c>
      <c r="N188" s="7" t="s">
        <v>1691</v>
      </c>
      <c r="O188" s="5" t="s">
        <v>182</v>
      </c>
      <c r="P188" s="45">
        <v>1160.78</v>
      </c>
      <c r="Q188" s="47">
        <f t="shared" si="2"/>
        <v>1234.8723552439999</v>
      </c>
      <c r="R188" s="4">
        <v>180</v>
      </c>
      <c r="S188" s="4">
        <v>12</v>
      </c>
    </row>
    <row r="189" spans="2:19" ht="11.25" x14ac:dyDescent="0.15">
      <c r="B189" s="3">
        <v>4218742</v>
      </c>
      <c r="C189" s="4">
        <v>178</v>
      </c>
      <c r="D189" s="6">
        <v>656</v>
      </c>
      <c r="E189" s="7"/>
      <c r="F189" s="7" t="s">
        <v>1691</v>
      </c>
      <c r="G189" s="7" t="s">
        <v>1691</v>
      </c>
      <c r="H189" s="7" t="s">
        <v>1691</v>
      </c>
      <c r="I189" s="7" t="s">
        <v>1691</v>
      </c>
      <c r="J189" s="7" t="s">
        <v>1691</v>
      </c>
      <c r="K189" s="7" t="s">
        <v>1691</v>
      </c>
      <c r="L189" s="7" t="s">
        <v>1691</v>
      </c>
      <c r="M189" s="7" t="s">
        <v>1691</v>
      </c>
      <c r="N189" s="7" t="s">
        <v>1691</v>
      </c>
      <c r="O189" s="5" t="s">
        <v>183</v>
      </c>
      <c r="P189" s="45">
        <v>2005.82</v>
      </c>
      <c r="Q189" s="47">
        <f t="shared" si="2"/>
        <v>2133.8510894359997</v>
      </c>
      <c r="R189" s="4">
        <v>180</v>
      </c>
      <c r="S189" s="4">
        <v>12</v>
      </c>
    </row>
    <row r="190" spans="2:19" ht="11.25" x14ac:dyDescent="0.15">
      <c r="B190" s="3">
        <v>4218743</v>
      </c>
      <c r="C190" s="4">
        <v>179</v>
      </c>
      <c r="D190" s="6">
        <v>302</v>
      </c>
      <c r="E190" s="7"/>
      <c r="F190" s="7" t="s">
        <v>1691</v>
      </c>
      <c r="G190" s="7" t="s">
        <v>1691</v>
      </c>
      <c r="H190" s="7" t="s">
        <v>1691</v>
      </c>
      <c r="I190" s="7"/>
      <c r="J190" s="7" t="s">
        <v>1691</v>
      </c>
      <c r="K190" s="7" t="s">
        <v>1691</v>
      </c>
      <c r="L190" s="7" t="s">
        <v>1691</v>
      </c>
      <c r="M190" s="7" t="s">
        <v>1691</v>
      </c>
      <c r="N190" s="7" t="s">
        <v>1691</v>
      </c>
      <c r="O190" s="5" t="s">
        <v>184</v>
      </c>
      <c r="P190" s="45">
        <v>1187.0899999999999</v>
      </c>
      <c r="Q190" s="47">
        <f t="shared" si="2"/>
        <v>1262.8617172819997</v>
      </c>
      <c r="R190" s="4">
        <v>180</v>
      </c>
      <c r="S190" s="4">
        <v>12</v>
      </c>
    </row>
    <row r="191" spans="2:19" ht="11.25" x14ac:dyDescent="0.15">
      <c r="B191" s="3">
        <v>4218744</v>
      </c>
      <c r="C191" s="4">
        <v>180</v>
      </c>
      <c r="D191" s="6">
        <v>305</v>
      </c>
      <c r="E191" s="7"/>
      <c r="F191" s="7" t="s">
        <v>1691</v>
      </c>
      <c r="G191" s="7" t="s">
        <v>1691</v>
      </c>
      <c r="H191" s="7" t="s">
        <v>1691</v>
      </c>
      <c r="I191" s="7" t="s">
        <v>1691</v>
      </c>
      <c r="J191" s="7" t="s">
        <v>1691</v>
      </c>
      <c r="K191" s="7" t="s">
        <v>1691</v>
      </c>
      <c r="L191" s="7" t="s">
        <v>1691</v>
      </c>
      <c r="M191" s="7" t="s">
        <v>1691</v>
      </c>
      <c r="N191" s="7"/>
      <c r="O191" s="5" t="s">
        <v>185</v>
      </c>
      <c r="P191" s="45">
        <v>3077.71</v>
      </c>
      <c r="Q191" s="47">
        <f t="shared" si="2"/>
        <v>3274.159613758</v>
      </c>
      <c r="R191" s="4">
        <v>180</v>
      </c>
      <c r="S191" s="4">
        <v>12</v>
      </c>
    </row>
    <row r="192" spans="2:19" ht="11.25" x14ac:dyDescent="0.15">
      <c r="B192" s="3">
        <v>4218745</v>
      </c>
      <c r="C192" s="4">
        <v>181</v>
      </c>
      <c r="D192" s="6">
        <v>306</v>
      </c>
      <c r="E192" s="7"/>
      <c r="F192" s="7"/>
      <c r="G192" s="7"/>
      <c r="H192" s="7"/>
      <c r="I192" s="7"/>
      <c r="J192" s="7"/>
      <c r="K192" s="7" t="s">
        <v>1691</v>
      </c>
      <c r="L192" s="7"/>
      <c r="M192" s="7"/>
      <c r="N192" s="7"/>
      <c r="O192" s="5" t="s">
        <v>186</v>
      </c>
      <c r="P192" s="45">
        <v>22212.59</v>
      </c>
      <c r="Q192" s="47">
        <f t="shared" si="2"/>
        <v>23630.415177182</v>
      </c>
      <c r="R192" s="4">
        <v>180</v>
      </c>
      <c r="S192" s="4">
        <v>12</v>
      </c>
    </row>
    <row r="193" spans="2:19" ht="11.25" x14ac:dyDescent="0.15">
      <c r="B193" s="3">
        <v>4218746</v>
      </c>
      <c r="C193" s="4">
        <v>182</v>
      </c>
      <c r="D193" s="6">
        <v>660</v>
      </c>
      <c r="E193" s="7"/>
      <c r="F193" s="7"/>
      <c r="G193" s="7" t="s">
        <v>1691</v>
      </c>
      <c r="H193" s="7" t="s">
        <v>1691</v>
      </c>
      <c r="I193" s="7"/>
      <c r="J193" s="7"/>
      <c r="K193" s="7"/>
      <c r="L193" s="7"/>
      <c r="M193" s="7"/>
      <c r="N193" s="7"/>
      <c r="O193" s="5" t="s">
        <v>187</v>
      </c>
      <c r="P193" s="45">
        <v>26094.22</v>
      </c>
      <c r="Q193" s="47">
        <f t="shared" si="2"/>
        <v>27759.808843756</v>
      </c>
      <c r="R193" s="4">
        <v>180</v>
      </c>
      <c r="S193" s="4">
        <v>12</v>
      </c>
    </row>
    <row r="194" spans="2:19" ht="11.25" x14ac:dyDescent="0.15">
      <c r="B194" s="3">
        <v>4218747</v>
      </c>
      <c r="C194" s="4">
        <v>183</v>
      </c>
      <c r="D194" s="6">
        <v>307</v>
      </c>
      <c r="E194" s="7"/>
      <c r="F194" s="7" t="s">
        <v>1691</v>
      </c>
      <c r="G194" s="7" t="s">
        <v>1691</v>
      </c>
      <c r="H194" s="7" t="s">
        <v>1691</v>
      </c>
      <c r="I194" s="7" t="s">
        <v>1691</v>
      </c>
      <c r="J194" s="7" t="s">
        <v>1691</v>
      </c>
      <c r="K194" s="7" t="s">
        <v>1691</v>
      </c>
      <c r="L194" s="7" t="s">
        <v>1691</v>
      </c>
      <c r="M194" s="7" t="s">
        <v>1691</v>
      </c>
      <c r="N194" s="7" t="s">
        <v>1691</v>
      </c>
      <c r="O194" s="5" t="s">
        <v>188</v>
      </c>
      <c r="P194" s="45">
        <v>451.93</v>
      </c>
      <c r="Q194" s="47">
        <f t="shared" si="2"/>
        <v>480.77660151399999</v>
      </c>
      <c r="R194" s="4">
        <v>180</v>
      </c>
      <c r="S194" s="4">
        <v>12</v>
      </c>
    </row>
    <row r="195" spans="2:19" ht="11.25" x14ac:dyDescent="0.15">
      <c r="B195" s="3">
        <v>4218748</v>
      </c>
      <c r="C195" s="4">
        <v>184</v>
      </c>
      <c r="D195" s="6">
        <v>308</v>
      </c>
      <c r="E195" s="7"/>
      <c r="F195" s="7" t="s">
        <v>1691</v>
      </c>
      <c r="G195" s="7" t="s">
        <v>1691</v>
      </c>
      <c r="H195" s="7" t="s">
        <v>1691</v>
      </c>
      <c r="I195" s="7" t="s">
        <v>1691</v>
      </c>
      <c r="J195" s="7" t="s">
        <v>1691</v>
      </c>
      <c r="K195" s="7" t="s">
        <v>1691</v>
      </c>
      <c r="L195" s="7" t="s">
        <v>1691</v>
      </c>
      <c r="M195" s="7" t="s">
        <v>1691</v>
      </c>
      <c r="N195" s="7" t="s">
        <v>1691</v>
      </c>
      <c r="O195" s="5" t="s">
        <v>189</v>
      </c>
      <c r="P195" s="45">
        <v>173.18</v>
      </c>
      <c r="Q195" s="47">
        <f t="shared" si="2"/>
        <v>184.234044764</v>
      </c>
      <c r="R195" s="4">
        <v>180</v>
      </c>
      <c r="S195" s="4">
        <v>12</v>
      </c>
    </row>
    <row r="196" spans="2:19" ht="11.25" x14ac:dyDescent="0.15">
      <c r="B196" s="3">
        <v>4218749</v>
      </c>
      <c r="C196" s="4">
        <v>185</v>
      </c>
      <c r="D196" s="6">
        <v>309</v>
      </c>
      <c r="E196" s="7"/>
      <c r="F196" s="7" t="s">
        <v>1691</v>
      </c>
      <c r="G196" s="7"/>
      <c r="H196" s="7"/>
      <c r="I196" s="7" t="s">
        <v>1691</v>
      </c>
      <c r="J196" s="7" t="s">
        <v>1691</v>
      </c>
      <c r="K196" s="7" t="s">
        <v>1691</v>
      </c>
      <c r="L196" s="7" t="s">
        <v>1691</v>
      </c>
      <c r="M196" s="7"/>
      <c r="N196" s="7"/>
      <c r="O196" s="5" t="s">
        <v>190</v>
      </c>
      <c r="P196" s="45">
        <v>761.31</v>
      </c>
      <c r="Q196" s="47">
        <f t="shared" si="2"/>
        <v>809.90426503799995</v>
      </c>
      <c r="R196" s="4">
        <v>180</v>
      </c>
      <c r="S196" s="4">
        <v>12</v>
      </c>
    </row>
    <row r="197" spans="2:19" ht="11.25" x14ac:dyDescent="0.15">
      <c r="B197" s="3">
        <v>4218750</v>
      </c>
      <c r="C197" s="4">
        <v>186</v>
      </c>
      <c r="D197" s="6">
        <v>665</v>
      </c>
      <c r="E197" s="7"/>
      <c r="F197" s="7"/>
      <c r="G197" s="7" t="s">
        <v>1691</v>
      </c>
      <c r="H197" s="7" t="s">
        <v>1691</v>
      </c>
      <c r="I197" s="7"/>
      <c r="J197" s="7"/>
      <c r="K197" s="7"/>
      <c r="L197" s="7"/>
      <c r="M197" s="7" t="s">
        <v>1691</v>
      </c>
      <c r="N197" s="7" t="s">
        <v>1691</v>
      </c>
      <c r="O197" s="5" t="s">
        <v>191</v>
      </c>
      <c r="P197" s="45">
        <v>766.91</v>
      </c>
      <c r="Q197" s="47">
        <f t="shared" si="2"/>
        <v>815.86171191799997</v>
      </c>
      <c r="R197" s="4">
        <v>180</v>
      </c>
      <c r="S197" s="4">
        <v>12</v>
      </c>
    </row>
    <row r="198" spans="2:19" ht="11.25" x14ac:dyDescent="0.15">
      <c r="B198" s="3">
        <v>4218751</v>
      </c>
      <c r="C198" s="4">
        <v>187</v>
      </c>
      <c r="D198" s="6">
        <v>310</v>
      </c>
      <c r="E198" s="7"/>
      <c r="F198" s="7" t="s">
        <v>1691</v>
      </c>
      <c r="G198" s="7" t="s">
        <v>1691</v>
      </c>
      <c r="H198" s="7" t="s">
        <v>1691</v>
      </c>
      <c r="I198" s="7"/>
      <c r="J198" s="7" t="s">
        <v>1691</v>
      </c>
      <c r="K198" s="7" t="s">
        <v>1691</v>
      </c>
      <c r="L198" s="7" t="s">
        <v>1691</v>
      </c>
      <c r="M198" s="7" t="s">
        <v>1691</v>
      </c>
      <c r="N198" s="7" t="s">
        <v>1691</v>
      </c>
      <c r="O198" s="5" t="s">
        <v>192</v>
      </c>
      <c r="P198" s="45">
        <v>8789.39</v>
      </c>
      <c r="Q198" s="47">
        <f t="shared" si="2"/>
        <v>9350.4150058219984</v>
      </c>
      <c r="R198" s="4">
        <v>180</v>
      </c>
      <c r="S198" s="4">
        <v>12</v>
      </c>
    </row>
    <row r="199" spans="2:19" ht="11.25" x14ac:dyDescent="0.15">
      <c r="B199" s="3">
        <v>4218752</v>
      </c>
      <c r="C199" s="4">
        <v>188</v>
      </c>
      <c r="D199" s="6">
        <v>312</v>
      </c>
      <c r="E199" s="7"/>
      <c r="F199" s="7" t="s">
        <v>1691</v>
      </c>
      <c r="G199" s="7" t="s">
        <v>1691</v>
      </c>
      <c r="H199" s="7" t="s">
        <v>1691</v>
      </c>
      <c r="I199" s="7"/>
      <c r="J199" s="7" t="s">
        <v>1691</v>
      </c>
      <c r="K199" s="7" t="s">
        <v>1691</v>
      </c>
      <c r="L199" s="7" t="s">
        <v>1691</v>
      </c>
      <c r="M199" s="7" t="s">
        <v>1691</v>
      </c>
      <c r="N199" s="7" t="s">
        <v>1691</v>
      </c>
      <c r="O199" s="5" t="s">
        <v>193</v>
      </c>
      <c r="P199" s="45">
        <v>29828.82</v>
      </c>
      <c r="Q199" s="47">
        <f t="shared" si="2"/>
        <v>31732.787614835997</v>
      </c>
      <c r="R199" s="4">
        <v>180</v>
      </c>
      <c r="S199" s="4">
        <v>12</v>
      </c>
    </row>
    <row r="200" spans="2:19" ht="11.25" x14ac:dyDescent="0.15">
      <c r="B200" s="3">
        <v>4218753</v>
      </c>
      <c r="C200" s="4">
        <v>189</v>
      </c>
      <c r="D200" s="6">
        <v>313</v>
      </c>
      <c r="E200" s="7"/>
      <c r="F200" s="7"/>
      <c r="G200" s="7" t="s">
        <v>1691</v>
      </c>
      <c r="H200" s="7" t="s">
        <v>1691</v>
      </c>
      <c r="I200" s="7"/>
      <c r="J200" s="7"/>
      <c r="K200" s="7"/>
      <c r="L200" s="7"/>
      <c r="M200" s="7" t="s">
        <v>1691</v>
      </c>
      <c r="N200" s="7" t="s">
        <v>1691</v>
      </c>
      <c r="O200" s="5" t="s">
        <v>194</v>
      </c>
      <c r="P200" s="45">
        <v>5881.26</v>
      </c>
      <c r="Q200" s="47">
        <f t="shared" si="2"/>
        <v>6256.6596495479998</v>
      </c>
      <c r="R200" s="4">
        <v>180</v>
      </c>
      <c r="S200" s="4">
        <v>12</v>
      </c>
    </row>
    <row r="201" spans="2:19" ht="11.25" x14ac:dyDescent="0.15">
      <c r="B201" s="3">
        <v>4218754</v>
      </c>
      <c r="C201" s="4">
        <v>190</v>
      </c>
      <c r="D201" s="6">
        <v>314</v>
      </c>
      <c r="E201" s="7"/>
      <c r="F201" s="7"/>
      <c r="G201" s="8" t="s">
        <v>1691</v>
      </c>
      <c r="H201" s="7" t="s">
        <v>1691</v>
      </c>
      <c r="I201" s="7"/>
      <c r="J201" s="7"/>
      <c r="K201" s="7"/>
      <c r="L201" s="7"/>
      <c r="M201" s="7" t="s">
        <v>1691</v>
      </c>
      <c r="N201" s="7" t="s">
        <v>1691</v>
      </c>
      <c r="O201" s="5" t="s">
        <v>195</v>
      </c>
      <c r="P201" s="45">
        <v>12397.08</v>
      </c>
      <c r="Q201" s="47">
        <f t="shared" si="2"/>
        <v>13188.383136983999</v>
      </c>
      <c r="R201" s="4">
        <v>180</v>
      </c>
      <c r="S201" s="4">
        <v>12</v>
      </c>
    </row>
    <row r="202" spans="2:19" ht="21" x14ac:dyDescent="0.15">
      <c r="B202" s="3">
        <v>4218755</v>
      </c>
      <c r="C202" s="4">
        <v>191</v>
      </c>
      <c r="D202" s="6">
        <v>316</v>
      </c>
      <c r="E202" s="7" t="s">
        <v>197</v>
      </c>
      <c r="F202" s="7"/>
      <c r="G202" s="7" t="s">
        <v>1691</v>
      </c>
      <c r="H202" s="7" t="s">
        <v>1691</v>
      </c>
      <c r="I202" s="7"/>
      <c r="J202" s="7"/>
      <c r="K202" s="7"/>
      <c r="L202" s="7"/>
      <c r="M202" s="7"/>
      <c r="N202" s="7"/>
      <c r="O202" s="5" t="s">
        <v>196</v>
      </c>
      <c r="P202" s="45">
        <v>47877.07</v>
      </c>
      <c r="Q202" s="47">
        <f t="shared" si="2"/>
        <v>50933.053802685994</v>
      </c>
      <c r="R202" s="4">
        <v>180</v>
      </c>
      <c r="S202" s="4">
        <v>12</v>
      </c>
    </row>
    <row r="203" spans="2:19" ht="11.25" x14ac:dyDescent="0.15">
      <c r="B203" s="3">
        <v>4218756</v>
      </c>
      <c r="C203" s="4">
        <v>192</v>
      </c>
      <c r="D203" s="6">
        <v>318</v>
      </c>
      <c r="E203" s="7"/>
      <c r="F203" s="7"/>
      <c r="G203" s="7" t="s">
        <v>1691</v>
      </c>
      <c r="H203" s="7" t="s">
        <v>1691</v>
      </c>
      <c r="I203" s="7"/>
      <c r="J203" s="7"/>
      <c r="K203" s="7"/>
      <c r="L203" s="7"/>
      <c r="M203" s="7"/>
      <c r="N203" s="7"/>
      <c r="O203" s="5" t="s">
        <v>198</v>
      </c>
      <c r="P203" s="45">
        <v>3982.59</v>
      </c>
      <c r="Q203" s="47">
        <f t="shared" si="2"/>
        <v>4236.797923182</v>
      </c>
      <c r="R203" s="4">
        <v>180</v>
      </c>
      <c r="S203" s="4">
        <v>12</v>
      </c>
    </row>
    <row r="204" spans="2:19" ht="11.25" x14ac:dyDescent="0.15">
      <c r="B204" s="3">
        <v>4218757</v>
      </c>
      <c r="C204" s="4">
        <v>193</v>
      </c>
      <c r="D204" s="6">
        <v>350</v>
      </c>
      <c r="E204" s="7"/>
      <c r="F204" s="7"/>
      <c r="G204" s="7"/>
      <c r="H204" s="7" t="s">
        <v>1691</v>
      </c>
      <c r="I204" s="7"/>
      <c r="J204" s="7"/>
      <c r="K204" s="7"/>
      <c r="L204" s="7"/>
      <c r="M204" s="7"/>
      <c r="N204" s="7" t="s">
        <v>1691</v>
      </c>
      <c r="O204" s="5" t="s">
        <v>199</v>
      </c>
      <c r="P204" s="45">
        <v>938.22</v>
      </c>
      <c r="Q204" s="47">
        <f t="shared" si="2"/>
        <v>998.10639495599992</v>
      </c>
      <c r="R204" s="4">
        <v>180</v>
      </c>
      <c r="S204" s="4">
        <v>12</v>
      </c>
    </row>
    <row r="205" spans="2:19" ht="11.25" x14ac:dyDescent="0.15">
      <c r="B205" s="3">
        <v>4218758</v>
      </c>
      <c r="C205" s="4">
        <v>194</v>
      </c>
      <c r="D205" s="6">
        <v>351</v>
      </c>
      <c r="E205" s="7"/>
      <c r="F205" s="7" t="s">
        <v>1691</v>
      </c>
      <c r="G205" s="7" t="s">
        <v>1691</v>
      </c>
      <c r="H205" s="7"/>
      <c r="I205" s="7" t="s">
        <v>1691</v>
      </c>
      <c r="J205" s="7"/>
      <c r="K205" s="7"/>
      <c r="L205" s="7"/>
      <c r="M205" s="7" t="s">
        <v>1691</v>
      </c>
      <c r="N205" s="7"/>
      <c r="O205" s="5" t="s">
        <v>200</v>
      </c>
      <c r="P205" s="45">
        <v>721.54</v>
      </c>
      <c r="Q205" s="47">
        <f t="shared" si="2"/>
        <v>767.59575389199995</v>
      </c>
      <c r="R205" s="4">
        <v>180</v>
      </c>
      <c r="S205" s="4">
        <v>12</v>
      </c>
    </row>
    <row r="206" spans="2:19" ht="11.25" x14ac:dyDescent="0.15">
      <c r="B206" s="3">
        <v>4218759</v>
      </c>
      <c r="C206" s="4">
        <v>195</v>
      </c>
      <c r="D206" s="6">
        <v>357</v>
      </c>
      <c r="E206" s="7"/>
      <c r="F206" s="7" t="s">
        <v>1691</v>
      </c>
      <c r="G206" s="7"/>
      <c r="H206" s="7"/>
      <c r="I206" s="7" t="s">
        <v>1691</v>
      </c>
      <c r="J206" s="7"/>
      <c r="K206" s="7"/>
      <c r="L206" s="7"/>
      <c r="M206" s="7"/>
      <c r="N206" s="7"/>
      <c r="O206" s="5" t="s">
        <v>201</v>
      </c>
      <c r="P206" s="45">
        <v>2519.66</v>
      </c>
      <c r="Q206" s="47">
        <f t="shared" si="2"/>
        <v>2680.4893938679998</v>
      </c>
      <c r="R206" s="4">
        <v>180</v>
      </c>
      <c r="S206" s="4">
        <v>12</v>
      </c>
    </row>
    <row r="207" spans="2:19" ht="11.25" x14ac:dyDescent="0.15">
      <c r="B207" s="3">
        <v>4218760</v>
      </c>
      <c r="C207" s="4">
        <v>196</v>
      </c>
      <c r="D207" s="6">
        <v>358</v>
      </c>
      <c r="E207" s="7"/>
      <c r="F207" s="7"/>
      <c r="G207" s="7" t="s">
        <v>1691</v>
      </c>
      <c r="H207" s="7"/>
      <c r="I207" s="7"/>
      <c r="J207" s="7" t="s">
        <v>1691</v>
      </c>
      <c r="K207" s="7" t="s">
        <v>1691</v>
      </c>
      <c r="L207" s="7" t="s">
        <v>1691</v>
      </c>
      <c r="M207" s="7" t="s">
        <v>1691</v>
      </c>
      <c r="N207" s="7"/>
      <c r="O207" s="5" t="s">
        <v>202</v>
      </c>
      <c r="P207" s="45">
        <v>2886.46</v>
      </c>
      <c r="Q207" s="47">
        <f t="shared" si="2"/>
        <v>3070.7021645079999</v>
      </c>
      <c r="R207" s="4">
        <v>180</v>
      </c>
      <c r="S207" s="4">
        <v>12</v>
      </c>
    </row>
    <row r="208" spans="2:19" ht="11.25" x14ac:dyDescent="0.15">
      <c r="B208" s="3">
        <v>4218761</v>
      </c>
      <c r="C208" s="4">
        <v>197</v>
      </c>
      <c r="D208" s="6">
        <v>359</v>
      </c>
      <c r="E208" s="7"/>
      <c r="F208" s="7"/>
      <c r="G208" s="7"/>
      <c r="H208" s="7"/>
      <c r="I208" s="7"/>
      <c r="J208" s="7"/>
      <c r="K208" s="7"/>
      <c r="L208" s="7"/>
      <c r="M208" s="7"/>
      <c r="N208" s="7" t="s">
        <v>1691</v>
      </c>
      <c r="O208" s="5" t="s">
        <v>203</v>
      </c>
      <c r="P208" s="45">
        <v>4062.71</v>
      </c>
      <c r="Q208" s="47">
        <f t="shared" ref="Q208:Q271" si="3">P208*1.0638298</f>
        <v>4322.0319667579997</v>
      </c>
      <c r="R208" s="4">
        <v>180</v>
      </c>
      <c r="S208" s="4">
        <v>12</v>
      </c>
    </row>
    <row r="209" spans="2:19" ht="11.25" x14ac:dyDescent="0.15">
      <c r="B209" s="3">
        <v>4218762</v>
      </c>
      <c r="C209" s="4">
        <v>198</v>
      </c>
      <c r="D209" s="6">
        <v>367</v>
      </c>
      <c r="E209" s="7"/>
      <c r="F209" s="7" t="s">
        <v>1691</v>
      </c>
      <c r="G209" s="7" t="s">
        <v>1691</v>
      </c>
      <c r="H209" s="7" t="s">
        <v>1691</v>
      </c>
      <c r="I209" s="7" t="s">
        <v>1691</v>
      </c>
      <c r="J209" s="7" t="s">
        <v>1691</v>
      </c>
      <c r="K209" s="7" t="s">
        <v>1691</v>
      </c>
      <c r="L209" s="7" t="s">
        <v>1691</v>
      </c>
      <c r="M209" s="7" t="s">
        <v>1691</v>
      </c>
      <c r="N209" s="7" t="s">
        <v>1691</v>
      </c>
      <c r="O209" s="5" t="s">
        <v>204</v>
      </c>
      <c r="P209" s="45">
        <v>335.36</v>
      </c>
      <c r="Q209" s="47">
        <f t="shared" si="3"/>
        <v>356.76596172799998</v>
      </c>
      <c r="R209" s="4">
        <v>180</v>
      </c>
      <c r="S209" s="4">
        <v>12</v>
      </c>
    </row>
    <row r="210" spans="2:19" ht="11.25" x14ac:dyDescent="0.15">
      <c r="B210" s="3">
        <v>4218763</v>
      </c>
      <c r="C210" s="4">
        <v>199</v>
      </c>
      <c r="D210" s="6">
        <v>799</v>
      </c>
      <c r="E210" s="7"/>
      <c r="F210" s="7"/>
      <c r="G210" s="7" t="s">
        <v>1691</v>
      </c>
      <c r="H210" s="7"/>
      <c r="I210" s="7"/>
      <c r="J210" s="7" t="s">
        <v>1691</v>
      </c>
      <c r="K210" s="7" t="s">
        <v>1691</v>
      </c>
      <c r="L210" s="7" t="s">
        <v>1691</v>
      </c>
      <c r="M210" s="7"/>
      <c r="N210" s="7"/>
      <c r="O210" s="5" t="s">
        <v>205</v>
      </c>
      <c r="P210" s="45">
        <v>66625.7</v>
      </c>
      <c r="Q210" s="47">
        <f t="shared" si="3"/>
        <v>70878.405105859987</v>
      </c>
      <c r="R210" s="4">
        <v>180</v>
      </c>
      <c r="S210" s="4">
        <v>12</v>
      </c>
    </row>
    <row r="211" spans="2:19" ht="11.25" x14ac:dyDescent="0.15">
      <c r="B211" s="3">
        <v>4218764</v>
      </c>
      <c r="C211" s="4">
        <v>200</v>
      </c>
      <c r="D211" s="6">
        <v>371</v>
      </c>
      <c r="E211" s="7"/>
      <c r="F211" s="7" t="s">
        <v>1691</v>
      </c>
      <c r="G211" s="7" t="s">
        <v>1691</v>
      </c>
      <c r="H211" s="7" t="s">
        <v>1691</v>
      </c>
      <c r="I211" s="7" t="s">
        <v>1691</v>
      </c>
      <c r="J211" s="7" t="s">
        <v>1691</v>
      </c>
      <c r="K211" s="7" t="s">
        <v>1691</v>
      </c>
      <c r="L211" s="7" t="s">
        <v>1691</v>
      </c>
      <c r="M211" s="7" t="s">
        <v>1691</v>
      </c>
      <c r="N211" s="7" t="s">
        <v>1691</v>
      </c>
      <c r="O211" s="5" t="s">
        <v>206</v>
      </c>
      <c r="P211" s="45">
        <v>4.6399999999999997</v>
      </c>
      <c r="Q211" s="47">
        <f t="shared" si="3"/>
        <v>4.9361702719999991</v>
      </c>
      <c r="R211" s="4">
        <v>180</v>
      </c>
      <c r="S211" s="4">
        <v>12</v>
      </c>
    </row>
    <row r="212" spans="2:19" ht="11.25" x14ac:dyDescent="0.15">
      <c r="B212" s="3">
        <v>4218765</v>
      </c>
      <c r="C212" s="4">
        <v>201</v>
      </c>
      <c r="D212" s="6">
        <v>372</v>
      </c>
      <c r="E212" s="7"/>
      <c r="F212" s="7" t="s">
        <v>1691</v>
      </c>
      <c r="G212" s="7" t="s">
        <v>1691</v>
      </c>
      <c r="H212" s="7" t="s">
        <v>1691</v>
      </c>
      <c r="I212" s="7" t="s">
        <v>1691</v>
      </c>
      <c r="J212" s="7" t="s">
        <v>1691</v>
      </c>
      <c r="K212" s="7" t="s">
        <v>1691</v>
      </c>
      <c r="L212" s="7" t="s">
        <v>1691</v>
      </c>
      <c r="M212" s="7" t="s">
        <v>1691</v>
      </c>
      <c r="N212" s="7" t="s">
        <v>1691</v>
      </c>
      <c r="O212" s="5" t="s">
        <v>207</v>
      </c>
      <c r="P212" s="45">
        <v>214.38</v>
      </c>
      <c r="Q212" s="47">
        <f t="shared" si="3"/>
        <v>228.06383252399999</v>
      </c>
      <c r="R212" s="4">
        <v>180</v>
      </c>
      <c r="S212" s="4">
        <v>12</v>
      </c>
    </row>
    <row r="213" spans="2:19" ht="11.25" x14ac:dyDescent="0.15">
      <c r="B213" s="3">
        <v>4218766</v>
      </c>
      <c r="C213" s="4">
        <v>202</v>
      </c>
      <c r="D213" s="6">
        <v>373</v>
      </c>
      <c r="E213" s="7"/>
      <c r="F213" s="7" t="s">
        <v>1691</v>
      </c>
      <c r="G213" s="7" t="s">
        <v>1691</v>
      </c>
      <c r="H213" s="7" t="s">
        <v>1691</v>
      </c>
      <c r="I213" s="7" t="s">
        <v>1691</v>
      </c>
      <c r="J213" s="7" t="s">
        <v>1691</v>
      </c>
      <c r="K213" s="7" t="s">
        <v>1691</v>
      </c>
      <c r="L213" s="7" t="s">
        <v>1691</v>
      </c>
      <c r="M213" s="7" t="s">
        <v>1691</v>
      </c>
      <c r="N213" s="7" t="s">
        <v>1691</v>
      </c>
      <c r="O213" s="5" t="s">
        <v>208</v>
      </c>
      <c r="P213" s="45">
        <v>841.63</v>
      </c>
      <c r="Q213" s="47">
        <f t="shared" si="3"/>
        <v>895.35107457399999</v>
      </c>
      <c r="R213" s="4">
        <v>180</v>
      </c>
      <c r="S213" s="4">
        <v>12</v>
      </c>
    </row>
    <row r="214" spans="2:19" ht="11.25" x14ac:dyDescent="0.15">
      <c r="B214" s="3">
        <v>4218767</v>
      </c>
      <c r="C214" s="4">
        <v>203</v>
      </c>
      <c r="D214" s="6">
        <v>374</v>
      </c>
      <c r="E214" s="7"/>
      <c r="F214" s="7" t="s">
        <v>1691</v>
      </c>
      <c r="G214" s="7" t="s">
        <v>1691</v>
      </c>
      <c r="H214" s="7" t="s">
        <v>1691</v>
      </c>
      <c r="I214" s="7" t="s">
        <v>1691</v>
      </c>
      <c r="J214" s="7" t="s">
        <v>1691</v>
      </c>
      <c r="K214" s="7" t="s">
        <v>1691</v>
      </c>
      <c r="L214" s="7" t="s">
        <v>1691</v>
      </c>
      <c r="M214" s="7" t="s">
        <v>1691</v>
      </c>
      <c r="N214" s="7" t="s">
        <v>1691</v>
      </c>
      <c r="O214" s="5" t="s">
        <v>209</v>
      </c>
      <c r="P214" s="45">
        <v>197.04</v>
      </c>
      <c r="Q214" s="47">
        <f t="shared" si="3"/>
        <v>209.61702379199997</v>
      </c>
      <c r="R214" s="4">
        <v>180</v>
      </c>
      <c r="S214" s="4">
        <v>12</v>
      </c>
    </row>
    <row r="215" spans="2:19" ht="11.25" x14ac:dyDescent="0.15">
      <c r="B215" s="3">
        <v>4218768</v>
      </c>
      <c r="C215" s="4">
        <v>204</v>
      </c>
      <c r="D215" s="6">
        <v>375</v>
      </c>
      <c r="E215" s="7"/>
      <c r="F215" s="7" t="s">
        <v>1691</v>
      </c>
      <c r="G215" s="7" t="s">
        <v>1691</v>
      </c>
      <c r="H215" s="7" t="s">
        <v>1691</v>
      </c>
      <c r="I215" s="7" t="s">
        <v>1691</v>
      </c>
      <c r="J215" s="7" t="s">
        <v>1691</v>
      </c>
      <c r="K215" s="7" t="s">
        <v>1691</v>
      </c>
      <c r="L215" s="7" t="s">
        <v>1691</v>
      </c>
      <c r="M215" s="7" t="s">
        <v>1691</v>
      </c>
      <c r="N215" s="7" t="s">
        <v>1691</v>
      </c>
      <c r="O215" s="5" t="s">
        <v>210</v>
      </c>
      <c r="P215" s="45">
        <v>134.12</v>
      </c>
      <c r="Q215" s="47">
        <f t="shared" si="3"/>
        <v>142.68085277599999</v>
      </c>
      <c r="R215" s="4">
        <v>180</v>
      </c>
      <c r="S215" s="4">
        <v>12</v>
      </c>
    </row>
    <row r="216" spans="2:19" ht="11.25" x14ac:dyDescent="0.15">
      <c r="B216" s="3">
        <v>4218769</v>
      </c>
      <c r="C216" s="4">
        <v>205</v>
      </c>
      <c r="D216" s="6">
        <v>376</v>
      </c>
      <c r="E216" s="7"/>
      <c r="F216" s="7" t="s">
        <v>1691</v>
      </c>
      <c r="G216" s="7" t="s">
        <v>1691</v>
      </c>
      <c r="H216" s="7" t="s">
        <v>1691</v>
      </c>
      <c r="I216" s="7" t="s">
        <v>1691</v>
      </c>
      <c r="J216" s="7" t="s">
        <v>1691</v>
      </c>
      <c r="K216" s="7" t="s">
        <v>1691</v>
      </c>
      <c r="L216" s="7" t="s">
        <v>1691</v>
      </c>
      <c r="M216" s="7" t="s">
        <v>1691</v>
      </c>
      <c r="N216" s="7" t="s">
        <v>1691</v>
      </c>
      <c r="O216" s="5" t="s">
        <v>211</v>
      </c>
      <c r="P216" s="45">
        <v>61.71</v>
      </c>
      <c r="Q216" s="47">
        <f t="shared" si="3"/>
        <v>65.648936957999993</v>
      </c>
      <c r="R216" s="4">
        <v>180</v>
      </c>
      <c r="S216" s="4">
        <v>12</v>
      </c>
    </row>
    <row r="217" spans="2:19" ht="11.25" x14ac:dyDescent="0.15">
      <c r="B217" s="3">
        <v>4218770</v>
      </c>
      <c r="C217" s="4">
        <v>206</v>
      </c>
      <c r="D217" s="6">
        <v>772</v>
      </c>
      <c r="E217" s="7"/>
      <c r="F217" s="7" t="s">
        <v>1691</v>
      </c>
      <c r="G217" s="7" t="s">
        <v>1691</v>
      </c>
      <c r="H217" s="7" t="s">
        <v>1691</v>
      </c>
      <c r="I217" s="7" t="s">
        <v>1691</v>
      </c>
      <c r="J217" s="7" t="s">
        <v>1691</v>
      </c>
      <c r="K217" s="7" t="s">
        <v>1691</v>
      </c>
      <c r="L217" s="7" t="s">
        <v>1691</v>
      </c>
      <c r="M217" s="7" t="s">
        <v>1691</v>
      </c>
      <c r="N217" s="7" t="s">
        <v>1691</v>
      </c>
      <c r="O217" s="5" t="s">
        <v>212</v>
      </c>
      <c r="P217" s="45">
        <v>15.03</v>
      </c>
      <c r="Q217" s="47">
        <f t="shared" si="3"/>
        <v>15.989361893999998</v>
      </c>
      <c r="R217" s="4">
        <v>180</v>
      </c>
      <c r="S217" s="4">
        <v>12</v>
      </c>
    </row>
    <row r="218" spans="2:19" ht="11.25" x14ac:dyDescent="0.15">
      <c r="B218" s="3">
        <v>4218771</v>
      </c>
      <c r="C218" s="4">
        <v>207</v>
      </c>
      <c r="D218" s="6">
        <v>378</v>
      </c>
      <c r="E218" s="7"/>
      <c r="F218" s="7" t="s">
        <v>1691</v>
      </c>
      <c r="G218" s="7" t="s">
        <v>1691</v>
      </c>
      <c r="H218" s="7" t="s">
        <v>1691</v>
      </c>
      <c r="I218" s="7" t="s">
        <v>1691</v>
      </c>
      <c r="J218" s="7" t="s">
        <v>1691</v>
      </c>
      <c r="K218" s="7" t="s">
        <v>1691</v>
      </c>
      <c r="L218" s="7" t="s">
        <v>1691</v>
      </c>
      <c r="M218" s="7" t="s">
        <v>1691</v>
      </c>
      <c r="N218" s="7" t="s">
        <v>1691</v>
      </c>
      <c r="O218" s="5" t="s">
        <v>213</v>
      </c>
      <c r="P218" s="45">
        <v>255.37</v>
      </c>
      <c r="Q218" s="47">
        <f t="shared" si="3"/>
        <v>271.67021602599999</v>
      </c>
      <c r="R218" s="4">
        <v>180</v>
      </c>
      <c r="S218" s="4">
        <v>12</v>
      </c>
    </row>
    <row r="219" spans="2:19" ht="11.25" x14ac:dyDescent="0.15">
      <c r="B219" s="3">
        <v>4218772</v>
      </c>
      <c r="C219" s="4">
        <v>208</v>
      </c>
      <c r="D219" s="6">
        <v>379</v>
      </c>
      <c r="E219" s="7"/>
      <c r="F219" s="7" t="s">
        <v>1691</v>
      </c>
      <c r="G219" s="7" t="s">
        <v>1691</v>
      </c>
      <c r="H219" s="7" t="s">
        <v>1691</v>
      </c>
      <c r="I219" s="7" t="s">
        <v>1691</v>
      </c>
      <c r="J219" s="7" t="s">
        <v>1691</v>
      </c>
      <c r="K219" s="7" t="s">
        <v>1691</v>
      </c>
      <c r="L219" s="7" t="s">
        <v>1691</v>
      </c>
      <c r="M219" s="7" t="s">
        <v>1691</v>
      </c>
      <c r="N219" s="7" t="s">
        <v>1691</v>
      </c>
      <c r="O219" s="5" t="s">
        <v>214</v>
      </c>
      <c r="P219" s="45">
        <v>174.69</v>
      </c>
      <c r="Q219" s="47">
        <f t="shared" si="3"/>
        <v>185.84042776199999</v>
      </c>
      <c r="R219" s="4">
        <v>180</v>
      </c>
      <c r="S219" s="4">
        <v>12</v>
      </c>
    </row>
    <row r="220" spans="2:19" ht="11.25" x14ac:dyDescent="0.15">
      <c r="B220" s="3">
        <v>4218773</v>
      </c>
      <c r="C220" s="4">
        <v>209</v>
      </c>
      <c r="D220" s="6">
        <v>380</v>
      </c>
      <c r="E220" s="7"/>
      <c r="F220" s="7" t="s">
        <v>1691</v>
      </c>
      <c r="G220" s="7" t="s">
        <v>1691</v>
      </c>
      <c r="H220" s="7" t="s">
        <v>1691</v>
      </c>
      <c r="I220" s="7" t="s">
        <v>1691</v>
      </c>
      <c r="J220" s="7" t="s">
        <v>1691</v>
      </c>
      <c r="K220" s="7" t="s">
        <v>1691</v>
      </c>
      <c r="L220" s="7" t="s">
        <v>1691</v>
      </c>
      <c r="M220" s="7" t="s">
        <v>1691</v>
      </c>
      <c r="N220" s="7" t="s">
        <v>1691</v>
      </c>
      <c r="O220" s="5" t="s">
        <v>215</v>
      </c>
      <c r="P220" s="45">
        <v>242.52</v>
      </c>
      <c r="Q220" s="47">
        <f t="shared" si="3"/>
        <v>258.000003096</v>
      </c>
      <c r="R220" s="4">
        <v>180</v>
      </c>
      <c r="S220" s="4">
        <v>12</v>
      </c>
    </row>
    <row r="221" spans="2:19" ht="11.25" x14ac:dyDescent="0.15">
      <c r="B221" s="3">
        <v>4218774</v>
      </c>
      <c r="C221" s="4">
        <v>210</v>
      </c>
      <c r="D221" s="6">
        <v>382</v>
      </c>
      <c r="E221" s="7"/>
      <c r="F221" s="7" t="s">
        <v>1691</v>
      </c>
      <c r="G221" s="7" t="s">
        <v>1691</v>
      </c>
      <c r="H221" s="7" t="s">
        <v>1691</v>
      </c>
      <c r="I221" s="7" t="s">
        <v>1691</v>
      </c>
      <c r="J221" s="7" t="s">
        <v>1691</v>
      </c>
      <c r="K221" s="7" t="s">
        <v>1691</v>
      </c>
      <c r="L221" s="7" t="s">
        <v>1691</v>
      </c>
      <c r="M221" s="7" t="s">
        <v>1691</v>
      </c>
      <c r="N221" s="7" t="s">
        <v>1691</v>
      </c>
      <c r="O221" s="5" t="s">
        <v>216</v>
      </c>
      <c r="P221" s="45">
        <v>225.43</v>
      </c>
      <c r="Q221" s="47">
        <f t="shared" si="3"/>
        <v>239.81915181399998</v>
      </c>
      <c r="R221" s="4">
        <v>180</v>
      </c>
      <c r="S221" s="4">
        <v>12</v>
      </c>
    </row>
    <row r="222" spans="2:19" ht="11.25" x14ac:dyDescent="0.15">
      <c r="B222" s="3">
        <v>4218775</v>
      </c>
      <c r="C222" s="4">
        <v>211</v>
      </c>
      <c r="D222" s="6">
        <v>383</v>
      </c>
      <c r="E222" s="7"/>
      <c r="F222" s="7" t="s">
        <v>1691</v>
      </c>
      <c r="G222" s="7" t="s">
        <v>1691</v>
      </c>
      <c r="H222" s="7" t="s">
        <v>1691</v>
      </c>
      <c r="I222" s="7" t="s">
        <v>1691</v>
      </c>
      <c r="J222" s="7" t="s">
        <v>1691</v>
      </c>
      <c r="K222" s="7" t="s">
        <v>1691</v>
      </c>
      <c r="L222" s="7" t="s">
        <v>1691</v>
      </c>
      <c r="M222" s="7" t="s">
        <v>1691</v>
      </c>
      <c r="N222" s="7" t="s">
        <v>1691</v>
      </c>
      <c r="O222" s="5" t="s">
        <v>217</v>
      </c>
      <c r="P222" s="45">
        <v>2406.0100000000002</v>
      </c>
      <c r="Q222" s="47">
        <f t="shared" si="3"/>
        <v>2559.5851370979999</v>
      </c>
      <c r="R222" s="4">
        <v>180</v>
      </c>
      <c r="S222" s="4">
        <v>12</v>
      </c>
    </row>
    <row r="223" spans="2:19" ht="11.25" x14ac:dyDescent="0.15">
      <c r="B223" s="3">
        <v>4218776</v>
      </c>
      <c r="C223" s="4">
        <v>212</v>
      </c>
      <c r="D223" s="6">
        <v>384</v>
      </c>
      <c r="E223" s="7"/>
      <c r="F223" s="7" t="s">
        <v>1691</v>
      </c>
      <c r="G223" s="7" t="s">
        <v>1691</v>
      </c>
      <c r="H223" s="7" t="s">
        <v>1691</v>
      </c>
      <c r="I223" s="7" t="s">
        <v>1691</v>
      </c>
      <c r="J223" s="7" t="s">
        <v>1691</v>
      </c>
      <c r="K223" s="7" t="s">
        <v>1691</v>
      </c>
      <c r="L223" s="7" t="s">
        <v>1691</v>
      </c>
      <c r="M223" s="7" t="s">
        <v>1691</v>
      </c>
      <c r="N223" s="7" t="s">
        <v>1691</v>
      </c>
      <c r="O223" s="5" t="s">
        <v>218</v>
      </c>
      <c r="P223" s="45">
        <v>663.25</v>
      </c>
      <c r="Q223" s="47">
        <f t="shared" si="3"/>
        <v>705.58511484999997</v>
      </c>
      <c r="R223" s="4">
        <v>180</v>
      </c>
      <c r="S223" s="4">
        <v>12</v>
      </c>
    </row>
    <row r="224" spans="2:19" ht="11.25" x14ac:dyDescent="0.15">
      <c r="B224" s="3">
        <v>4218777</v>
      </c>
      <c r="C224" s="4">
        <v>213</v>
      </c>
      <c r="D224" s="6">
        <v>387</v>
      </c>
      <c r="E224" s="7"/>
      <c r="F224" s="7"/>
      <c r="G224" s="7" t="s">
        <v>1691</v>
      </c>
      <c r="H224" s="7" t="s">
        <v>1691</v>
      </c>
      <c r="I224" s="7"/>
      <c r="J224" s="7"/>
      <c r="K224" s="7"/>
      <c r="L224" s="7"/>
      <c r="M224" s="7" t="s">
        <v>1691</v>
      </c>
      <c r="N224" s="7" t="s">
        <v>1691</v>
      </c>
      <c r="O224" s="5" t="s">
        <v>219</v>
      </c>
      <c r="P224" s="45">
        <v>16054.29</v>
      </c>
      <c r="Q224" s="47">
        <f t="shared" si="3"/>
        <v>17079.032119841999</v>
      </c>
      <c r="R224" s="4">
        <v>180</v>
      </c>
      <c r="S224" s="4">
        <v>12</v>
      </c>
    </row>
    <row r="225" spans="2:19" ht="11.25" x14ac:dyDescent="0.15">
      <c r="B225" s="3">
        <v>4218778</v>
      </c>
      <c r="C225" s="4">
        <v>214</v>
      </c>
      <c r="D225" s="6">
        <v>391</v>
      </c>
      <c r="E225" s="7"/>
      <c r="F225" s="7" t="s">
        <v>1691</v>
      </c>
      <c r="G225" s="7"/>
      <c r="H225" s="7"/>
      <c r="I225" s="7"/>
      <c r="J225" s="7"/>
      <c r="K225" s="7"/>
      <c r="L225" s="7"/>
      <c r="M225" s="7"/>
      <c r="N225" s="7"/>
      <c r="O225" s="5" t="s">
        <v>220</v>
      </c>
      <c r="P225" s="45">
        <v>7634.36</v>
      </c>
      <c r="Q225" s="47">
        <f t="shared" si="3"/>
        <v>8121.6596719279987</v>
      </c>
      <c r="R225" s="4">
        <v>180</v>
      </c>
      <c r="S225" s="4">
        <v>12</v>
      </c>
    </row>
    <row r="226" spans="2:19" ht="11.25" x14ac:dyDescent="0.15">
      <c r="B226" s="3">
        <v>4218779</v>
      </c>
      <c r="C226" s="4">
        <v>215</v>
      </c>
      <c r="D226" s="6">
        <v>392</v>
      </c>
      <c r="E226" s="7"/>
      <c r="F226" s="7" t="s">
        <v>1691</v>
      </c>
      <c r="G226" s="7"/>
      <c r="H226" s="7"/>
      <c r="I226" s="7"/>
      <c r="J226" s="7"/>
      <c r="K226" s="7"/>
      <c r="L226" s="7"/>
      <c r="M226" s="7"/>
      <c r="N226" s="7"/>
      <c r="O226" s="5" t="s">
        <v>221</v>
      </c>
      <c r="P226" s="45">
        <v>13005.32</v>
      </c>
      <c r="Q226" s="47">
        <f t="shared" si="3"/>
        <v>13835.446974535998</v>
      </c>
      <c r="R226" s="4">
        <v>180</v>
      </c>
      <c r="S226" s="4">
        <v>12</v>
      </c>
    </row>
    <row r="227" spans="2:19" ht="11.25" x14ac:dyDescent="0.15">
      <c r="B227" s="3">
        <v>4218780</v>
      </c>
      <c r="C227" s="4">
        <v>216</v>
      </c>
      <c r="D227" s="6">
        <v>393</v>
      </c>
      <c r="E227" s="7"/>
      <c r="F227" s="7" t="s">
        <v>1691</v>
      </c>
      <c r="G227" s="7"/>
      <c r="H227" s="7"/>
      <c r="I227" s="7"/>
      <c r="J227" s="7"/>
      <c r="K227" s="7"/>
      <c r="L227" s="7"/>
      <c r="M227" s="7"/>
      <c r="N227" s="7"/>
      <c r="O227" s="5" t="s">
        <v>222</v>
      </c>
      <c r="P227" s="45">
        <v>7634.36</v>
      </c>
      <c r="Q227" s="47">
        <f t="shared" si="3"/>
        <v>8121.6596719279987</v>
      </c>
      <c r="R227" s="4">
        <v>180</v>
      </c>
      <c r="S227" s="4">
        <v>12</v>
      </c>
    </row>
    <row r="228" spans="2:19" ht="11.25" x14ac:dyDescent="0.15">
      <c r="B228" s="3">
        <v>4218781</v>
      </c>
      <c r="C228" s="4">
        <v>217</v>
      </c>
      <c r="D228" s="6">
        <v>394</v>
      </c>
      <c r="E228" s="7"/>
      <c r="F228" s="7"/>
      <c r="G228" s="7"/>
      <c r="H228" s="7"/>
      <c r="I228" s="7"/>
      <c r="J228" s="7" t="s">
        <v>1691</v>
      </c>
      <c r="K228" s="7" t="s">
        <v>1691</v>
      </c>
      <c r="L228" s="7"/>
      <c r="M228" s="7"/>
      <c r="N228" s="7"/>
      <c r="O228" s="5" t="s">
        <v>223</v>
      </c>
      <c r="P228" s="45">
        <v>7139.62</v>
      </c>
      <c r="Q228" s="47">
        <f t="shared" si="3"/>
        <v>7595.3405166759994</v>
      </c>
      <c r="R228" s="4">
        <v>180</v>
      </c>
      <c r="S228" s="4">
        <v>12</v>
      </c>
    </row>
    <row r="229" spans="2:19" ht="11.25" x14ac:dyDescent="0.15">
      <c r="B229" s="3">
        <v>4218782</v>
      </c>
      <c r="C229" s="4">
        <v>218</v>
      </c>
      <c r="D229" s="6">
        <v>699</v>
      </c>
      <c r="E229" s="7"/>
      <c r="F229" s="7"/>
      <c r="G229" s="7"/>
      <c r="H229" s="7"/>
      <c r="I229" s="7" t="s">
        <v>1691</v>
      </c>
      <c r="J229" s="7"/>
      <c r="K229" s="7"/>
      <c r="L229" s="7"/>
      <c r="M229" s="7"/>
      <c r="N229" s="7"/>
      <c r="O229" s="5" t="s">
        <v>224</v>
      </c>
      <c r="P229" s="45">
        <v>6539.96</v>
      </c>
      <c r="Q229" s="47">
        <f t="shared" si="3"/>
        <v>6957.4043388079999</v>
      </c>
      <c r="R229" s="4">
        <v>180</v>
      </c>
      <c r="S229" s="4">
        <v>12</v>
      </c>
    </row>
    <row r="230" spans="2:19" ht="11.25" x14ac:dyDescent="0.15">
      <c r="B230" s="3">
        <v>4218783</v>
      </c>
      <c r="C230" s="4">
        <v>219</v>
      </c>
      <c r="D230" s="6">
        <v>701</v>
      </c>
      <c r="E230" s="7"/>
      <c r="F230" s="7"/>
      <c r="G230" s="7"/>
      <c r="H230" s="7"/>
      <c r="I230" s="7" t="s">
        <v>1691</v>
      </c>
      <c r="J230" s="7"/>
      <c r="K230" s="7"/>
      <c r="L230" s="7"/>
      <c r="M230" s="7"/>
      <c r="N230" s="7"/>
      <c r="O230" s="5" t="s">
        <v>225</v>
      </c>
      <c r="P230" s="45">
        <v>6246.42</v>
      </c>
      <c r="Q230" s="47">
        <f t="shared" si="3"/>
        <v>6645.1277393159999</v>
      </c>
      <c r="R230" s="4">
        <v>180</v>
      </c>
      <c r="S230" s="4">
        <v>12</v>
      </c>
    </row>
    <row r="231" spans="2:19" ht="11.25" x14ac:dyDescent="0.15">
      <c r="B231" s="3">
        <v>4218784</v>
      </c>
      <c r="C231" s="4">
        <v>220</v>
      </c>
      <c r="D231" s="6">
        <v>702</v>
      </c>
      <c r="E231" s="7"/>
      <c r="F231" s="7"/>
      <c r="G231" s="7"/>
      <c r="H231" s="7"/>
      <c r="I231" s="7"/>
      <c r="J231" s="7" t="s">
        <v>1691</v>
      </c>
      <c r="K231" s="7" t="s">
        <v>1691</v>
      </c>
      <c r="L231" s="7"/>
      <c r="M231" s="7"/>
      <c r="N231" s="7"/>
      <c r="O231" s="5" t="s">
        <v>226</v>
      </c>
      <c r="P231" s="45">
        <v>7730.53</v>
      </c>
      <c r="Q231" s="47">
        <f t="shared" si="3"/>
        <v>8223.9681837939988</v>
      </c>
      <c r="R231" s="4">
        <v>180</v>
      </c>
      <c r="S231" s="4">
        <v>12</v>
      </c>
    </row>
    <row r="232" spans="2:19" ht="11.25" x14ac:dyDescent="0.15">
      <c r="B232" s="3">
        <v>4218785</v>
      </c>
      <c r="C232" s="4">
        <v>221</v>
      </c>
      <c r="D232" s="6">
        <v>703</v>
      </c>
      <c r="E232" s="7"/>
      <c r="F232" s="7"/>
      <c r="G232" s="7"/>
      <c r="H232" s="7"/>
      <c r="I232" s="7" t="s">
        <v>1691</v>
      </c>
      <c r="J232" s="7"/>
      <c r="K232" s="7"/>
      <c r="L232" s="7"/>
      <c r="M232" s="7"/>
      <c r="N232" s="7"/>
      <c r="O232" s="5" t="s">
        <v>227</v>
      </c>
      <c r="P232" s="45">
        <v>10868.57</v>
      </c>
      <c r="Q232" s="47">
        <f t="shared" si="3"/>
        <v>11562.308649385999</v>
      </c>
      <c r="R232" s="4">
        <v>180</v>
      </c>
      <c r="S232" s="4">
        <v>12</v>
      </c>
    </row>
    <row r="233" spans="2:19" ht="11.25" x14ac:dyDescent="0.15">
      <c r="B233" s="3">
        <v>4218786</v>
      </c>
      <c r="C233" s="4">
        <v>222</v>
      </c>
      <c r="D233" s="6">
        <v>705</v>
      </c>
      <c r="E233" s="7"/>
      <c r="F233" s="7"/>
      <c r="G233" s="7"/>
      <c r="H233" s="7"/>
      <c r="I233" s="7" t="s">
        <v>1691</v>
      </c>
      <c r="J233" s="7"/>
      <c r="K233" s="7"/>
      <c r="L233" s="7"/>
      <c r="M233" s="7"/>
      <c r="N233" s="7"/>
      <c r="O233" s="5" t="s">
        <v>228</v>
      </c>
      <c r="P233" s="45">
        <v>6341.7</v>
      </c>
      <c r="Q233" s="47">
        <f t="shared" si="3"/>
        <v>6746.4894426599994</v>
      </c>
      <c r="R233" s="4">
        <v>180</v>
      </c>
      <c r="S233" s="4">
        <v>12</v>
      </c>
    </row>
    <row r="234" spans="2:19" ht="11.25" x14ac:dyDescent="0.15">
      <c r="B234" s="3">
        <v>4218787</v>
      </c>
      <c r="C234" s="4">
        <v>223</v>
      </c>
      <c r="D234" s="6">
        <v>706</v>
      </c>
      <c r="E234" s="7"/>
      <c r="F234" s="7" t="s">
        <v>1691</v>
      </c>
      <c r="G234" s="7"/>
      <c r="H234" s="7"/>
      <c r="I234" s="7"/>
      <c r="J234" s="7"/>
      <c r="K234" s="7"/>
      <c r="L234" s="7"/>
      <c r="M234" s="7"/>
      <c r="N234" s="7"/>
      <c r="O234" s="5" t="s">
        <v>229</v>
      </c>
      <c r="P234" s="45">
        <v>8149.72</v>
      </c>
      <c r="Q234" s="47">
        <f t="shared" si="3"/>
        <v>8669.9149976560002</v>
      </c>
      <c r="R234" s="4">
        <v>180</v>
      </c>
      <c r="S234" s="4">
        <v>12</v>
      </c>
    </row>
    <row r="235" spans="2:19" ht="11.25" x14ac:dyDescent="0.15">
      <c r="B235" s="3">
        <v>4218788</v>
      </c>
      <c r="C235" s="4">
        <v>224</v>
      </c>
      <c r="D235" s="6">
        <v>707</v>
      </c>
      <c r="E235" s="7"/>
      <c r="F235" s="7"/>
      <c r="G235" s="7"/>
      <c r="H235" s="7"/>
      <c r="I235" s="7" t="s">
        <v>1691</v>
      </c>
      <c r="J235" s="7"/>
      <c r="K235" s="7"/>
      <c r="L235" s="7"/>
      <c r="M235" s="7"/>
      <c r="N235" s="7"/>
      <c r="O235" s="5" t="s">
        <v>230</v>
      </c>
      <c r="P235" s="45">
        <v>5694.76</v>
      </c>
      <c r="Q235" s="47">
        <f t="shared" si="3"/>
        <v>6058.2553918479998</v>
      </c>
      <c r="R235" s="4">
        <v>180</v>
      </c>
      <c r="S235" s="4">
        <v>12</v>
      </c>
    </row>
    <row r="236" spans="2:19" ht="11.25" x14ac:dyDescent="0.15">
      <c r="B236" s="3">
        <v>4218789</v>
      </c>
      <c r="C236" s="4">
        <v>225</v>
      </c>
      <c r="D236" s="6">
        <v>708</v>
      </c>
      <c r="E236" s="7"/>
      <c r="F236" s="7" t="s">
        <v>1691</v>
      </c>
      <c r="G236" s="7"/>
      <c r="H236" s="7"/>
      <c r="I236" s="7"/>
      <c r="J236" s="7"/>
      <c r="K236" s="7"/>
      <c r="L236" s="7"/>
      <c r="M236" s="7"/>
      <c r="N236" s="7"/>
      <c r="O236" s="5" t="s">
        <v>231</v>
      </c>
      <c r="P236" s="45">
        <v>7584.5</v>
      </c>
      <c r="Q236" s="47">
        <f t="shared" si="3"/>
        <v>8068.6171181</v>
      </c>
      <c r="R236" s="4">
        <v>180</v>
      </c>
      <c r="S236" s="4">
        <v>12</v>
      </c>
    </row>
    <row r="237" spans="2:19" ht="11.25" x14ac:dyDescent="0.15">
      <c r="B237" s="3">
        <v>4218790</v>
      </c>
      <c r="C237" s="4">
        <v>226</v>
      </c>
      <c r="D237" s="6">
        <v>403</v>
      </c>
      <c r="E237" s="7"/>
      <c r="F237" s="7" t="s">
        <v>1691</v>
      </c>
      <c r="G237" s="7"/>
      <c r="H237" s="7"/>
      <c r="I237" s="7" t="s">
        <v>1691</v>
      </c>
      <c r="J237" s="7" t="s">
        <v>1691</v>
      </c>
      <c r="K237" s="7" t="s">
        <v>1691</v>
      </c>
      <c r="L237" s="7"/>
      <c r="M237" s="7"/>
      <c r="N237" s="7"/>
      <c r="O237" s="5" t="s">
        <v>232</v>
      </c>
      <c r="P237" s="45">
        <v>43.77</v>
      </c>
      <c r="Q237" s="47">
        <f t="shared" si="3"/>
        <v>46.563830346000003</v>
      </c>
      <c r="R237" s="4">
        <v>180</v>
      </c>
      <c r="S237" s="4">
        <v>12</v>
      </c>
    </row>
    <row r="238" spans="2:19" ht="11.25" x14ac:dyDescent="0.15">
      <c r="B238" s="3">
        <v>4218791</v>
      </c>
      <c r="C238" s="4">
        <v>227</v>
      </c>
      <c r="D238" s="6">
        <v>709</v>
      </c>
      <c r="E238" s="7"/>
      <c r="F238" s="7" t="s">
        <v>1691</v>
      </c>
      <c r="G238" s="7"/>
      <c r="H238" s="7"/>
      <c r="I238" s="7" t="s">
        <v>1691</v>
      </c>
      <c r="J238" s="7"/>
      <c r="K238" s="7"/>
      <c r="L238" s="7"/>
      <c r="M238" s="7"/>
      <c r="N238" s="7"/>
      <c r="O238" s="5" t="s">
        <v>233</v>
      </c>
      <c r="P238" s="45">
        <v>43.77</v>
      </c>
      <c r="Q238" s="47">
        <f t="shared" si="3"/>
        <v>46.563830346000003</v>
      </c>
      <c r="R238" s="4">
        <v>180</v>
      </c>
      <c r="S238" s="4">
        <v>12</v>
      </c>
    </row>
    <row r="239" spans="2:19" ht="11.25" x14ac:dyDescent="0.15">
      <c r="B239" s="3">
        <v>4218792</v>
      </c>
      <c r="C239" s="4">
        <v>228</v>
      </c>
      <c r="D239" s="6">
        <v>404</v>
      </c>
      <c r="E239" s="7"/>
      <c r="F239" s="7" t="s">
        <v>1691</v>
      </c>
      <c r="G239" s="7"/>
      <c r="H239" s="7"/>
      <c r="I239" s="7" t="s">
        <v>1691</v>
      </c>
      <c r="J239" s="7" t="s">
        <v>1691</v>
      </c>
      <c r="K239" s="7" t="s">
        <v>1691</v>
      </c>
      <c r="L239" s="7"/>
      <c r="M239" s="7"/>
      <c r="N239" s="7"/>
      <c r="O239" s="5" t="s">
        <v>234</v>
      </c>
      <c r="P239" s="45">
        <v>128.94</v>
      </c>
      <c r="Q239" s="47">
        <f t="shared" si="3"/>
        <v>137.17021441199998</v>
      </c>
      <c r="R239" s="4">
        <v>180</v>
      </c>
      <c r="S239" s="4">
        <v>12</v>
      </c>
    </row>
    <row r="240" spans="2:19" ht="11.25" x14ac:dyDescent="0.15">
      <c r="B240" s="3">
        <v>4218793</v>
      </c>
      <c r="C240" s="4">
        <v>229</v>
      </c>
      <c r="D240" s="6">
        <v>405</v>
      </c>
      <c r="E240" s="7"/>
      <c r="F240" s="7" t="s">
        <v>1691</v>
      </c>
      <c r="G240" s="7"/>
      <c r="H240" s="7"/>
      <c r="I240" s="7" t="s">
        <v>1691</v>
      </c>
      <c r="J240" s="7" t="s">
        <v>1691</v>
      </c>
      <c r="K240" s="7" t="s">
        <v>1691</v>
      </c>
      <c r="L240" s="7"/>
      <c r="M240" s="7"/>
      <c r="N240" s="7"/>
      <c r="O240" s="5" t="s">
        <v>235</v>
      </c>
      <c r="P240" s="45">
        <v>331.21</v>
      </c>
      <c r="Q240" s="47">
        <f t="shared" si="3"/>
        <v>352.35106805799995</v>
      </c>
      <c r="R240" s="4">
        <v>180</v>
      </c>
      <c r="S240" s="4">
        <v>12</v>
      </c>
    </row>
    <row r="241" spans="2:19" ht="11.25" x14ac:dyDescent="0.15">
      <c r="B241" s="3">
        <v>4218794</v>
      </c>
      <c r="C241" s="4">
        <v>230</v>
      </c>
      <c r="D241" s="6">
        <v>406</v>
      </c>
      <c r="E241" s="7"/>
      <c r="F241" s="7" t="s">
        <v>1691</v>
      </c>
      <c r="G241" s="7"/>
      <c r="H241" s="7"/>
      <c r="I241" s="7" t="s">
        <v>1691</v>
      </c>
      <c r="J241" s="7"/>
      <c r="K241" s="7"/>
      <c r="L241" s="7"/>
      <c r="M241" s="7"/>
      <c r="N241" s="7"/>
      <c r="O241" s="5" t="s">
        <v>236</v>
      </c>
      <c r="P241" s="45">
        <v>6050.58</v>
      </c>
      <c r="Q241" s="47">
        <f t="shared" si="3"/>
        <v>6436.7873112839998</v>
      </c>
      <c r="R241" s="4">
        <v>180</v>
      </c>
      <c r="S241" s="4">
        <v>12</v>
      </c>
    </row>
    <row r="242" spans="2:19" ht="11.25" x14ac:dyDescent="0.15">
      <c r="B242" s="3">
        <v>4218795</v>
      </c>
      <c r="C242" s="4">
        <v>231</v>
      </c>
      <c r="D242" s="6">
        <v>713</v>
      </c>
      <c r="E242" s="7"/>
      <c r="F242" s="7" t="s">
        <v>1691</v>
      </c>
      <c r="G242" s="7"/>
      <c r="H242" s="7"/>
      <c r="I242" s="7" t="s">
        <v>1691</v>
      </c>
      <c r="J242" s="7"/>
      <c r="K242" s="7"/>
      <c r="L242" s="7"/>
      <c r="M242" s="7"/>
      <c r="N242" s="7"/>
      <c r="O242" s="5" t="s">
        <v>237</v>
      </c>
      <c r="P242" s="45">
        <v>3530.94</v>
      </c>
      <c r="Q242" s="47">
        <f t="shared" si="3"/>
        <v>3756.319194012</v>
      </c>
      <c r="R242" s="4">
        <v>180</v>
      </c>
      <c r="S242" s="4">
        <v>12</v>
      </c>
    </row>
    <row r="243" spans="2:19" ht="11.25" x14ac:dyDescent="0.15">
      <c r="B243" s="3">
        <v>4218796</v>
      </c>
      <c r="C243" s="4">
        <v>232</v>
      </c>
      <c r="D243" s="6">
        <v>409</v>
      </c>
      <c r="E243" s="7"/>
      <c r="F243" s="7" t="s">
        <v>1691</v>
      </c>
      <c r="G243" s="7"/>
      <c r="H243" s="7"/>
      <c r="I243" s="7" t="s">
        <v>1691</v>
      </c>
      <c r="J243" s="7" t="s">
        <v>1691</v>
      </c>
      <c r="K243" s="7" t="s">
        <v>1691</v>
      </c>
      <c r="L243" s="7"/>
      <c r="M243" s="7"/>
      <c r="N243" s="7"/>
      <c r="O243" s="5" t="s">
        <v>238</v>
      </c>
      <c r="P243" s="45">
        <v>3018.02</v>
      </c>
      <c r="Q243" s="47">
        <f t="shared" si="3"/>
        <v>3210.6596129959999</v>
      </c>
      <c r="R243" s="4">
        <v>180</v>
      </c>
      <c r="S243" s="4">
        <v>12</v>
      </c>
    </row>
    <row r="244" spans="2:19" ht="11.25" x14ac:dyDescent="0.15">
      <c r="B244" s="3">
        <v>4218797</v>
      </c>
      <c r="C244" s="4">
        <v>233</v>
      </c>
      <c r="D244" s="6">
        <v>412</v>
      </c>
      <c r="E244" s="7"/>
      <c r="F244" s="7" t="s">
        <v>1691</v>
      </c>
      <c r="G244" s="7"/>
      <c r="H244" s="7"/>
      <c r="I244" s="7" t="s">
        <v>1691</v>
      </c>
      <c r="J244" s="7" t="s">
        <v>1691</v>
      </c>
      <c r="K244" s="7" t="s">
        <v>1691</v>
      </c>
      <c r="L244" s="7"/>
      <c r="M244" s="7"/>
      <c r="N244" s="7"/>
      <c r="O244" s="5" t="s">
        <v>239</v>
      </c>
      <c r="P244" s="45">
        <v>386.93</v>
      </c>
      <c r="Q244" s="47">
        <f t="shared" si="3"/>
        <v>411.627664514</v>
      </c>
      <c r="R244" s="4">
        <v>180</v>
      </c>
      <c r="S244" s="4">
        <v>12</v>
      </c>
    </row>
    <row r="245" spans="2:19" ht="11.25" x14ac:dyDescent="0.15">
      <c r="B245" s="3">
        <v>4218798</v>
      </c>
      <c r="C245" s="4">
        <v>234</v>
      </c>
      <c r="D245" s="6">
        <v>413</v>
      </c>
      <c r="E245" s="7"/>
      <c r="F245" s="7" t="s">
        <v>1691</v>
      </c>
      <c r="G245" s="7" t="s">
        <v>1691</v>
      </c>
      <c r="H245" s="7" t="s">
        <v>1691</v>
      </c>
      <c r="I245" s="7" t="s">
        <v>1691</v>
      </c>
      <c r="J245" s="7" t="s">
        <v>1691</v>
      </c>
      <c r="K245" s="7" t="s">
        <v>1691</v>
      </c>
      <c r="L245" s="7" t="s">
        <v>1691</v>
      </c>
      <c r="M245" s="7" t="s">
        <v>1691</v>
      </c>
      <c r="N245" s="7" t="s">
        <v>1691</v>
      </c>
      <c r="O245" s="5" t="s">
        <v>240</v>
      </c>
      <c r="P245" s="45">
        <v>798.54</v>
      </c>
      <c r="Q245" s="47">
        <f t="shared" si="3"/>
        <v>849.51064849199986</v>
      </c>
      <c r="R245" s="4">
        <v>180</v>
      </c>
      <c r="S245" s="4">
        <v>12</v>
      </c>
    </row>
    <row r="246" spans="2:19" ht="11.25" x14ac:dyDescent="0.15">
      <c r="B246" s="3">
        <v>4218799</v>
      </c>
      <c r="C246" s="4">
        <v>235</v>
      </c>
      <c r="D246" s="6">
        <v>775</v>
      </c>
      <c r="E246" s="7"/>
      <c r="F246" s="7" t="s">
        <v>1691</v>
      </c>
      <c r="G246" s="7" t="s">
        <v>1691</v>
      </c>
      <c r="H246" s="7" t="s">
        <v>1691</v>
      </c>
      <c r="I246" s="7" t="s">
        <v>1691</v>
      </c>
      <c r="J246" s="7" t="s">
        <v>1691</v>
      </c>
      <c r="K246" s="7" t="s">
        <v>1691</v>
      </c>
      <c r="L246" s="7" t="s">
        <v>1691</v>
      </c>
      <c r="M246" s="7" t="s">
        <v>1691</v>
      </c>
      <c r="N246" s="7" t="s">
        <v>1691</v>
      </c>
      <c r="O246" s="5" t="s">
        <v>241</v>
      </c>
      <c r="P246" s="45">
        <v>1641.24</v>
      </c>
      <c r="Q246" s="47">
        <f t="shared" si="3"/>
        <v>1746.0000209519999</v>
      </c>
      <c r="R246" s="4">
        <v>180</v>
      </c>
      <c r="S246" s="4">
        <v>12</v>
      </c>
    </row>
    <row r="247" spans="2:19" ht="11.25" x14ac:dyDescent="0.15">
      <c r="B247" s="3">
        <v>4218800</v>
      </c>
      <c r="C247" s="4">
        <v>236</v>
      </c>
      <c r="D247" s="6">
        <v>415</v>
      </c>
      <c r="E247" s="7"/>
      <c r="F247" s="7" t="s">
        <v>1691</v>
      </c>
      <c r="G247" s="7" t="s">
        <v>1691</v>
      </c>
      <c r="H247" s="7" t="s">
        <v>1691</v>
      </c>
      <c r="I247" s="7" t="s">
        <v>1691</v>
      </c>
      <c r="J247" s="7" t="s">
        <v>1691</v>
      </c>
      <c r="K247" s="7" t="s">
        <v>1691</v>
      </c>
      <c r="L247" s="7" t="s">
        <v>1691</v>
      </c>
      <c r="M247" s="7" t="s">
        <v>1691</v>
      </c>
      <c r="N247" s="7" t="s">
        <v>1691</v>
      </c>
      <c r="O247" s="5" t="s">
        <v>242</v>
      </c>
      <c r="P247" s="45">
        <v>67.510000000000005</v>
      </c>
      <c r="Q247" s="47">
        <f t="shared" si="3"/>
        <v>71.819149797999998</v>
      </c>
      <c r="R247" s="4">
        <v>180</v>
      </c>
      <c r="S247" s="4">
        <v>12</v>
      </c>
    </row>
    <row r="248" spans="2:19" ht="11.25" x14ac:dyDescent="0.15">
      <c r="B248" s="3">
        <v>4218801</v>
      </c>
      <c r="C248" s="4">
        <v>237</v>
      </c>
      <c r="D248" s="6">
        <v>416</v>
      </c>
      <c r="E248" s="7" t="s">
        <v>244</v>
      </c>
      <c r="F248" s="7" t="s">
        <v>1691</v>
      </c>
      <c r="G248" s="7" t="s">
        <v>1691</v>
      </c>
      <c r="H248" s="7" t="s">
        <v>1691</v>
      </c>
      <c r="I248" s="7" t="s">
        <v>1691</v>
      </c>
      <c r="J248" s="7" t="s">
        <v>1691</v>
      </c>
      <c r="K248" s="7" t="s">
        <v>1691</v>
      </c>
      <c r="L248" s="7" t="s">
        <v>1691</v>
      </c>
      <c r="M248" s="7" t="s">
        <v>1691</v>
      </c>
      <c r="N248" s="7" t="s">
        <v>1691</v>
      </c>
      <c r="O248" s="5" t="s">
        <v>243</v>
      </c>
      <c r="P248" s="45">
        <v>26.16</v>
      </c>
      <c r="Q248" s="47">
        <f t="shared" si="3"/>
        <v>27.829787567999997</v>
      </c>
      <c r="R248" s="4">
        <v>180</v>
      </c>
      <c r="S248" s="4">
        <v>12</v>
      </c>
    </row>
    <row r="249" spans="2:19" ht="11.25" x14ac:dyDescent="0.15">
      <c r="B249" s="3">
        <v>4218802</v>
      </c>
      <c r="C249" s="4">
        <v>238</v>
      </c>
      <c r="D249" s="6">
        <v>417</v>
      </c>
      <c r="E249" s="7"/>
      <c r="F249" s="7" t="s">
        <v>1691</v>
      </c>
      <c r="G249" s="7" t="s">
        <v>1691</v>
      </c>
      <c r="H249" s="7" t="s">
        <v>1691</v>
      </c>
      <c r="I249" s="7" t="s">
        <v>1691</v>
      </c>
      <c r="J249" s="7" t="s">
        <v>1691</v>
      </c>
      <c r="K249" s="7" t="s">
        <v>1691</v>
      </c>
      <c r="L249" s="7" t="s">
        <v>1691</v>
      </c>
      <c r="M249" s="7" t="s">
        <v>1691</v>
      </c>
      <c r="N249" s="7" t="s">
        <v>1691</v>
      </c>
      <c r="O249" s="5" t="s">
        <v>245</v>
      </c>
      <c r="P249" s="45">
        <v>48.13</v>
      </c>
      <c r="Q249" s="47">
        <f t="shared" si="3"/>
        <v>51.202128274000003</v>
      </c>
      <c r="R249" s="4">
        <v>180</v>
      </c>
      <c r="S249" s="4">
        <v>12</v>
      </c>
    </row>
    <row r="250" spans="2:19" ht="11.25" x14ac:dyDescent="0.15">
      <c r="B250" s="3">
        <v>4218803</v>
      </c>
      <c r="C250" s="4">
        <v>239</v>
      </c>
      <c r="D250" s="6">
        <v>737</v>
      </c>
      <c r="E250" s="7"/>
      <c r="F250" s="7" t="s">
        <v>1691</v>
      </c>
      <c r="G250" s="7" t="s">
        <v>1691</v>
      </c>
      <c r="H250" s="7" t="s">
        <v>1691</v>
      </c>
      <c r="I250" s="7" t="s">
        <v>1691</v>
      </c>
      <c r="J250" s="7" t="s">
        <v>1691</v>
      </c>
      <c r="K250" s="7" t="s">
        <v>1691</v>
      </c>
      <c r="L250" s="7" t="s">
        <v>1691</v>
      </c>
      <c r="M250" s="7" t="s">
        <v>1691</v>
      </c>
      <c r="N250" s="7" t="s">
        <v>1691</v>
      </c>
      <c r="O250" s="5" t="s">
        <v>246</v>
      </c>
      <c r="P250" s="45">
        <v>18.600000000000001</v>
      </c>
      <c r="Q250" s="47">
        <f t="shared" si="3"/>
        <v>19.78723428</v>
      </c>
      <c r="R250" s="4">
        <v>180</v>
      </c>
      <c r="S250" s="4">
        <v>12</v>
      </c>
    </row>
    <row r="251" spans="2:19" ht="11.25" x14ac:dyDescent="0.15">
      <c r="B251" s="3">
        <v>4218804</v>
      </c>
      <c r="C251" s="4">
        <v>240</v>
      </c>
      <c r="D251" s="6">
        <v>421</v>
      </c>
      <c r="E251" s="7"/>
      <c r="F251" s="7" t="s">
        <v>1691</v>
      </c>
      <c r="G251" s="7" t="s">
        <v>1691</v>
      </c>
      <c r="H251" s="7" t="s">
        <v>1691</v>
      </c>
      <c r="I251" s="7" t="s">
        <v>1691</v>
      </c>
      <c r="J251" s="7" t="s">
        <v>1691</v>
      </c>
      <c r="K251" s="7" t="s">
        <v>1691</v>
      </c>
      <c r="L251" s="7" t="s">
        <v>1691</v>
      </c>
      <c r="M251" s="7" t="s">
        <v>1691</v>
      </c>
      <c r="N251" s="7" t="s">
        <v>1691</v>
      </c>
      <c r="O251" s="5" t="s">
        <v>247</v>
      </c>
      <c r="P251" s="45">
        <v>128.19999999999999</v>
      </c>
      <c r="Q251" s="47">
        <f t="shared" si="3"/>
        <v>136.38298035999998</v>
      </c>
      <c r="R251" s="4">
        <v>180</v>
      </c>
      <c r="S251" s="4">
        <v>12</v>
      </c>
    </row>
    <row r="252" spans="2:19" ht="11.25" x14ac:dyDescent="0.15">
      <c r="B252" s="3">
        <v>4218805</v>
      </c>
      <c r="C252" s="4">
        <v>241</v>
      </c>
      <c r="D252" s="6">
        <v>422</v>
      </c>
      <c r="E252" s="7"/>
      <c r="F252" s="7" t="s">
        <v>1691</v>
      </c>
      <c r="G252" s="7" t="s">
        <v>1691</v>
      </c>
      <c r="H252" s="7" t="s">
        <v>1691</v>
      </c>
      <c r="I252" s="7" t="s">
        <v>1691</v>
      </c>
      <c r="J252" s="7" t="s">
        <v>1691</v>
      </c>
      <c r="K252" s="7" t="s">
        <v>1691</v>
      </c>
      <c r="L252" s="7" t="s">
        <v>1691</v>
      </c>
      <c r="M252" s="7" t="s">
        <v>1691</v>
      </c>
      <c r="N252" s="7" t="s">
        <v>1691</v>
      </c>
      <c r="O252" s="5" t="s">
        <v>248</v>
      </c>
      <c r="P252" s="45">
        <v>95.12</v>
      </c>
      <c r="Q252" s="47">
        <f t="shared" si="3"/>
        <v>101.19149057599999</v>
      </c>
      <c r="R252" s="4">
        <v>180</v>
      </c>
      <c r="S252" s="4">
        <v>12</v>
      </c>
    </row>
    <row r="253" spans="2:19" ht="11.25" x14ac:dyDescent="0.15">
      <c r="B253" s="3">
        <v>4218806</v>
      </c>
      <c r="C253" s="4">
        <v>242</v>
      </c>
      <c r="D253" s="6">
        <v>425</v>
      </c>
      <c r="E253" s="7"/>
      <c r="F253" s="7" t="s">
        <v>1691</v>
      </c>
      <c r="G253" s="7" t="s">
        <v>1691</v>
      </c>
      <c r="H253" s="7" t="s">
        <v>1691</v>
      </c>
      <c r="I253" s="7" t="s">
        <v>1691</v>
      </c>
      <c r="J253" s="7" t="s">
        <v>1691</v>
      </c>
      <c r="K253" s="7" t="s">
        <v>1691</v>
      </c>
      <c r="L253" s="7" t="s">
        <v>1691</v>
      </c>
      <c r="M253" s="7" t="s">
        <v>1691</v>
      </c>
      <c r="N253" s="7" t="s">
        <v>1691</v>
      </c>
      <c r="O253" s="5" t="s">
        <v>249</v>
      </c>
      <c r="P253" s="45">
        <v>31.73</v>
      </c>
      <c r="Q253" s="47">
        <f t="shared" si="3"/>
        <v>33.755319553999996</v>
      </c>
      <c r="R253" s="4">
        <v>180</v>
      </c>
      <c r="S253" s="4">
        <v>12</v>
      </c>
    </row>
    <row r="254" spans="2:19" ht="11.25" x14ac:dyDescent="0.15">
      <c r="B254" s="3">
        <v>4218807</v>
      </c>
      <c r="C254" s="4">
        <v>243</v>
      </c>
      <c r="D254" s="6">
        <v>426</v>
      </c>
      <c r="E254" s="7"/>
      <c r="F254" s="7" t="s">
        <v>1691</v>
      </c>
      <c r="G254" s="7" t="s">
        <v>1691</v>
      </c>
      <c r="H254" s="7" t="s">
        <v>1691</v>
      </c>
      <c r="I254" s="7" t="s">
        <v>1691</v>
      </c>
      <c r="J254" s="7" t="s">
        <v>1691</v>
      </c>
      <c r="K254" s="7" t="s">
        <v>1691</v>
      </c>
      <c r="L254" s="7" t="s">
        <v>1691</v>
      </c>
      <c r="M254" s="7" t="s">
        <v>1691</v>
      </c>
      <c r="N254" s="7" t="s">
        <v>1691</v>
      </c>
      <c r="O254" s="5" t="s">
        <v>250</v>
      </c>
      <c r="P254" s="45">
        <v>200.59</v>
      </c>
      <c r="Q254" s="47">
        <f t="shared" si="3"/>
        <v>213.39361958199999</v>
      </c>
      <c r="R254" s="4">
        <v>180</v>
      </c>
      <c r="S254" s="4">
        <v>12</v>
      </c>
    </row>
    <row r="255" spans="2:19" ht="11.25" x14ac:dyDescent="0.15">
      <c r="B255" s="3">
        <v>4218808</v>
      </c>
      <c r="C255" s="4">
        <v>244</v>
      </c>
      <c r="D255" s="6">
        <v>723</v>
      </c>
      <c r="E255" s="7"/>
      <c r="F255" s="7" t="s">
        <v>1691</v>
      </c>
      <c r="G255" s="7" t="s">
        <v>1691</v>
      </c>
      <c r="H255" s="7" t="s">
        <v>1691</v>
      </c>
      <c r="I255" s="7" t="s">
        <v>1691</v>
      </c>
      <c r="J255" s="7" t="s">
        <v>1691</v>
      </c>
      <c r="K255" s="7" t="s">
        <v>1691</v>
      </c>
      <c r="L255" s="7" t="s">
        <v>1691</v>
      </c>
      <c r="M255" s="7" t="s">
        <v>1691</v>
      </c>
      <c r="N255" s="7" t="s">
        <v>1691</v>
      </c>
      <c r="O255" s="5" t="s">
        <v>250</v>
      </c>
      <c r="P255" s="45">
        <v>227.63</v>
      </c>
      <c r="Q255" s="47">
        <f t="shared" si="3"/>
        <v>242.15957737399998</v>
      </c>
      <c r="R255" s="4">
        <v>180</v>
      </c>
      <c r="S255" s="4">
        <v>12</v>
      </c>
    </row>
    <row r="256" spans="2:19" ht="11.25" x14ac:dyDescent="0.15">
      <c r="B256" s="3">
        <v>4218809</v>
      </c>
      <c r="C256" s="4">
        <v>245</v>
      </c>
      <c r="D256" s="6">
        <v>427</v>
      </c>
      <c r="E256" s="7"/>
      <c r="F256" s="7" t="s">
        <v>1691</v>
      </c>
      <c r="G256" s="7" t="s">
        <v>1691</v>
      </c>
      <c r="H256" s="7" t="s">
        <v>1691</v>
      </c>
      <c r="I256" s="7" t="s">
        <v>1691</v>
      </c>
      <c r="J256" s="7" t="s">
        <v>1691</v>
      </c>
      <c r="K256" s="7" t="s">
        <v>1691</v>
      </c>
      <c r="L256" s="7" t="s">
        <v>1691</v>
      </c>
      <c r="M256" s="7" t="s">
        <v>1691</v>
      </c>
      <c r="N256" s="7" t="s">
        <v>1691</v>
      </c>
      <c r="O256" s="5" t="s">
        <v>251</v>
      </c>
      <c r="P256" s="45">
        <v>216.82</v>
      </c>
      <c r="Q256" s="47">
        <f t="shared" si="3"/>
        <v>230.65957723599999</v>
      </c>
      <c r="R256" s="4">
        <v>180</v>
      </c>
      <c r="S256" s="4">
        <v>12</v>
      </c>
    </row>
    <row r="257" spans="2:19" ht="11.25" x14ac:dyDescent="0.15">
      <c r="B257" s="3">
        <v>4218810</v>
      </c>
      <c r="C257" s="4">
        <v>246</v>
      </c>
      <c r="D257" s="6">
        <v>428</v>
      </c>
      <c r="E257" s="7"/>
      <c r="F257" s="7" t="s">
        <v>1691</v>
      </c>
      <c r="G257" s="7" t="s">
        <v>1691</v>
      </c>
      <c r="H257" s="7" t="s">
        <v>1691</v>
      </c>
      <c r="I257" s="7" t="s">
        <v>1691</v>
      </c>
      <c r="J257" s="7" t="s">
        <v>1691</v>
      </c>
      <c r="K257" s="7" t="s">
        <v>1691</v>
      </c>
      <c r="L257" s="7" t="s">
        <v>1691</v>
      </c>
      <c r="M257" s="7" t="s">
        <v>1691</v>
      </c>
      <c r="N257" s="7" t="s">
        <v>1691</v>
      </c>
      <c r="O257" s="5" t="s">
        <v>252</v>
      </c>
      <c r="P257" s="45">
        <v>55.07</v>
      </c>
      <c r="Q257" s="47">
        <f t="shared" si="3"/>
        <v>58.585107085999994</v>
      </c>
      <c r="R257" s="4">
        <v>180</v>
      </c>
      <c r="S257" s="4">
        <v>12</v>
      </c>
    </row>
    <row r="258" spans="2:19" ht="11.25" x14ac:dyDescent="0.15">
      <c r="B258" s="3">
        <v>4218811</v>
      </c>
      <c r="C258" s="4">
        <v>247</v>
      </c>
      <c r="D258" s="6">
        <v>429</v>
      </c>
      <c r="E258" s="7"/>
      <c r="F258" s="7" t="s">
        <v>1691</v>
      </c>
      <c r="G258" s="7" t="s">
        <v>1691</v>
      </c>
      <c r="H258" s="7" t="s">
        <v>1691</v>
      </c>
      <c r="I258" s="7" t="s">
        <v>1691</v>
      </c>
      <c r="J258" s="7" t="s">
        <v>1691</v>
      </c>
      <c r="K258" s="7" t="s">
        <v>1691</v>
      </c>
      <c r="L258" s="7" t="s">
        <v>1691</v>
      </c>
      <c r="M258" s="7" t="s">
        <v>1691</v>
      </c>
      <c r="N258" s="7" t="s">
        <v>1691</v>
      </c>
      <c r="O258" s="5" t="s">
        <v>253</v>
      </c>
      <c r="P258" s="45">
        <v>60.8</v>
      </c>
      <c r="Q258" s="47">
        <f t="shared" si="3"/>
        <v>64.680851839999988</v>
      </c>
      <c r="R258" s="4">
        <v>180</v>
      </c>
      <c r="S258" s="4">
        <v>12</v>
      </c>
    </row>
    <row r="259" spans="2:19" ht="11.25" x14ac:dyDescent="0.15">
      <c r="B259" s="3">
        <v>4218812</v>
      </c>
      <c r="C259" s="4">
        <v>248</v>
      </c>
      <c r="D259" s="6">
        <v>725</v>
      </c>
      <c r="E259" s="7"/>
      <c r="F259" s="7" t="s">
        <v>1691</v>
      </c>
      <c r="G259" s="7" t="s">
        <v>1691</v>
      </c>
      <c r="H259" s="7" t="s">
        <v>1691</v>
      </c>
      <c r="I259" s="7" t="s">
        <v>1691</v>
      </c>
      <c r="J259" s="7" t="s">
        <v>1691</v>
      </c>
      <c r="K259" s="7" t="s">
        <v>1691</v>
      </c>
      <c r="L259" s="7" t="s">
        <v>1691</v>
      </c>
      <c r="M259" s="7" t="s">
        <v>1691</v>
      </c>
      <c r="N259" s="7" t="s">
        <v>1691</v>
      </c>
      <c r="O259" s="5" t="s">
        <v>254</v>
      </c>
      <c r="P259" s="45">
        <v>161.61000000000001</v>
      </c>
      <c r="Q259" s="47">
        <f t="shared" si="3"/>
        <v>171.925533978</v>
      </c>
      <c r="R259" s="4">
        <v>180</v>
      </c>
      <c r="S259" s="4">
        <v>12</v>
      </c>
    </row>
    <row r="260" spans="2:19" ht="11.25" x14ac:dyDescent="0.15">
      <c r="B260" s="3">
        <v>4218813</v>
      </c>
      <c r="C260" s="4">
        <v>249</v>
      </c>
      <c r="D260" s="6">
        <v>726</v>
      </c>
      <c r="E260" s="7"/>
      <c r="F260" s="7" t="s">
        <v>1691</v>
      </c>
      <c r="G260" s="7" t="s">
        <v>1691</v>
      </c>
      <c r="H260" s="7" t="s">
        <v>1691</v>
      </c>
      <c r="I260" s="7" t="s">
        <v>1691</v>
      </c>
      <c r="J260" s="7" t="s">
        <v>1691</v>
      </c>
      <c r="K260" s="7" t="s">
        <v>1691</v>
      </c>
      <c r="L260" s="7" t="s">
        <v>1691</v>
      </c>
      <c r="M260" s="7" t="s">
        <v>1691</v>
      </c>
      <c r="N260" s="7" t="s">
        <v>1691</v>
      </c>
      <c r="O260" s="5" t="s">
        <v>255</v>
      </c>
      <c r="P260" s="45">
        <v>179.66</v>
      </c>
      <c r="Q260" s="47">
        <f t="shared" si="3"/>
        <v>191.12766186799999</v>
      </c>
      <c r="R260" s="4">
        <v>180</v>
      </c>
      <c r="S260" s="4">
        <v>12</v>
      </c>
    </row>
    <row r="261" spans="2:19" ht="11.25" x14ac:dyDescent="0.15">
      <c r="B261" s="3">
        <v>4218814</v>
      </c>
      <c r="C261" s="4">
        <v>250</v>
      </c>
      <c r="D261" s="6">
        <v>430</v>
      </c>
      <c r="E261" s="7"/>
      <c r="F261" s="7" t="s">
        <v>1691</v>
      </c>
      <c r="G261" s="7" t="s">
        <v>1691</v>
      </c>
      <c r="H261" s="7" t="s">
        <v>1691</v>
      </c>
      <c r="I261" s="7" t="s">
        <v>1691</v>
      </c>
      <c r="J261" s="7" t="s">
        <v>1691</v>
      </c>
      <c r="K261" s="7" t="s">
        <v>1691</v>
      </c>
      <c r="L261" s="7" t="s">
        <v>1691</v>
      </c>
      <c r="M261" s="7" t="s">
        <v>1691</v>
      </c>
      <c r="N261" s="7" t="s">
        <v>1691</v>
      </c>
      <c r="O261" s="5" t="s">
        <v>256</v>
      </c>
      <c r="P261" s="45">
        <v>1101.19</v>
      </c>
      <c r="Q261" s="47">
        <f t="shared" si="3"/>
        <v>1171.478737462</v>
      </c>
      <c r="R261" s="4">
        <v>180</v>
      </c>
      <c r="S261" s="4">
        <v>12</v>
      </c>
    </row>
    <row r="262" spans="2:19" ht="11.25" x14ac:dyDescent="0.15">
      <c r="B262" s="3">
        <v>4218815</v>
      </c>
      <c r="C262" s="4">
        <v>251</v>
      </c>
      <c r="D262" s="6">
        <v>431</v>
      </c>
      <c r="E262" s="7"/>
      <c r="F262" s="7"/>
      <c r="G262" s="7" t="s">
        <v>1691</v>
      </c>
      <c r="H262" s="7" t="s">
        <v>1691</v>
      </c>
      <c r="I262" s="7"/>
      <c r="J262" s="7" t="s">
        <v>1691</v>
      </c>
      <c r="K262" s="7" t="s">
        <v>1691</v>
      </c>
      <c r="L262" s="7" t="s">
        <v>1691</v>
      </c>
      <c r="M262" s="7" t="s">
        <v>1691</v>
      </c>
      <c r="N262" s="7" t="s">
        <v>1691</v>
      </c>
      <c r="O262" s="5" t="s">
        <v>257</v>
      </c>
      <c r="P262" s="45">
        <v>4139.53</v>
      </c>
      <c r="Q262" s="47">
        <f t="shared" si="3"/>
        <v>4403.7553719939997</v>
      </c>
      <c r="R262" s="4">
        <v>180</v>
      </c>
      <c r="S262" s="4">
        <v>12</v>
      </c>
    </row>
    <row r="263" spans="2:19" ht="11.25" x14ac:dyDescent="0.15">
      <c r="B263" s="3">
        <v>4218816</v>
      </c>
      <c r="C263" s="4">
        <v>252</v>
      </c>
      <c r="D263" s="6">
        <v>432</v>
      </c>
      <c r="E263" s="7"/>
      <c r="F263" s="7"/>
      <c r="G263" s="7" t="s">
        <v>1691</v>
      </c>
      <c r="H263" s="7" t="s">
        <v>1691</v>
      </c>
      <c r="I263" s="7"/>
      <c r="J263" s="7" t="s">
        <v>1691</v>
      </c>
      <c r="K263" s="7" t="s">
        <v>1691</v>
      </c>
      <c r="L263" s="7" t="s">
        <v>1691</v>
      </c>
      <c r="M263" s="7" t="s">
        <v>1691</v>
      </c>
      <c r="N263" s="7" t="s">
        <v>1691</v>
      </c>
      <c r="O263" s="5" t="s">
        <v>258</v>
      </c>
      <c r="P263" s="45">
        <v>82.3</v>
      </c>
      <c r="Q263" s="47">
        <f t="shared" si="3"/>
        <v>87.553192539999998</v>
      </c>
      <c r="R263" s="4">
        <v>180</v>
      </c>
      <c r="S263" s="4">
        <v>12</v>
      </c>
    </row>
    <row r="264" spans="2:19" ht="11.25" x14ac:dyDescent="0.15">
      <c r="B264" s="3">
        <v>4218817</v>
      </c>
      <c r="C264" s="4">
        <v>253</v>
      </c>
      <c r="D264" s="6">
        <v>433</v>
      </c>
      <c r="E264" s="7"/>
      <c r="F264" s="7"/>
      <c r="G264" s="7" t="s">
        <v>1691</v>
      </c>
      <c r="H264" s="7" t="s">
        <v>1691</v>
      </c>
      <c r="I264" s="7"/>
      <c r="J264" s="7" t="s">
        <v>1691</v>
      </c>
      <c r="K264" s="7" t="s">
        <v>1691</v>
      </c>
      <c r="L264" s="7" t="s">
        <v>1691</v>
      </c>
      <c r="M264" s="7" t="s">
        <v>1691</v>
      </c>
      <c r="N264" s="7" t="s">
        <v>1691</v>
      </c>
      <c r="O264" s="5" t="s">
        <v>259</v>
      </c>
      <c r="P264" s="45">
        <v>732.24</v>
      </c>
      <c r="Q264" s="47">
        <f t="shared" si="3"/>
        <v>778.97873275199993</v>
      </c>
      <c r="R264" s="4">
        <v>180</v>
      </c>
      <c r="S264" s="4">
        <v>12</v>
      </c>
    </row>
    <row r="265" spans="2:19" ht="11.25" x14ac:dyDescent="0.15">
      <c r="B265" s="3">
        <v>4218818</v>
      </c>
      <c r="C265" s="4">
        <v>254</v>
      </c>
      <c r="D265" s="6">
        <v>434</v>
      </c>
      <c r="E265" s="7"/>
      <c r="F265" s="7" t="s">
        <v>1691</v>
      </c>
      <c r="G265" s="7" t="s">
        <v>1691</v>
      </c>
      <c r="H265" s="7" t="s">
        <v>1691</v>
      </c>
      <c r="I265" s="7" t="s">
        <v>1691</v>
      </c>
      <c r="J265" s="7" t="s">
        <v>1691</v>
      </c>
      <c r="K265" s="7" t="s">
        <v>1691</v>
      </c>
      <c r="L265" s="7" t="s">
        <v>1691</v>
      </c>
      <c r="M265" s="7" t="s">
        <v>1691</v>
      </c>
      <c r="N265" s="7" t="s">
        <v>1691</v>
      </c>
      <c r="O265" s="5" t="s">
        <v>260</v>
      </c>
      <c r="P265" s="45">
        <v>27.3</v>
      </c>
      <c r="Q265" s="47">
        <f t="shared" si="3"/>
        <v>29.04255354</v>
      </c>
      <c r="R265" s="4">
        <v>180</v>
      </c>
      <c r="S265" s="4">
        <v>12</v>
      </c>
    </row>
    <row r="266" spans="2:19" ht="11.25" x14ac:dyDescent="0.15">
      <c r="B266" s="3">
        <v>4218819</v>
      </c>
      <c r="C266" s="4">
        <v>255</v>
      </c>
      <c r="D266" s="6">
        <v>435</v>
      </c>
      <c r="E266" s="7"/>
      <c r="F266" s="7" t="s">
        <v>1691</v>
      </c>
      <c r="G266" s="7" t="s">
        <v>1691</v>
      </c>
      <c r="H266" s="7" t="s">
        <v>1691</v>
      </c>
      <c r="I266" s="7" t="s">
        <v>1691</v>
      </c>
      <c r="J266" s="7" t="s">
        <v>1691</v>
      </c>
      <c r="K266" s="7" t="s">
        <v>1691</v>
      </c>
      <c r="L266" s="7" t="s">
        <v>1691</v>
      </c>
      <c r="M266" s="7" t="s">
        <v>1691</v>
      </c>
      <c r="N266" s="7" t="s">
        <v>1691</v>
      </c>
      <c r="O266" s="5" t="s">
        <v>261</v>
      </c>
      <c r="P266" s="45">
        <v>11.61</v>
      </c>
      <c r="Q266" s="47">
        <f t="shared" si="3"/>
        <v>12.351063977999999</v>
      </c>
      <c r="R266" s="4">
        <v>180</v>
      </c>
      <c r="S266" s="4">
        <v>12</v>
      </c>
    </row>
    <row r="267" spans="2:19" ht="11.25" x14ac:dyDescent="0.15">
      <c r="B267" s="3">
        <v>4218820</v>
      </c>
      <c r="C267" s="4">
        <v>256</v>
      </c>
      <c r="D267" s="6">
        <v>436</v>
      </c>
      <c r="E267" s="7"/>
      <c r="F267" s="7" t="s">
        <v>1691</v>
      </c>
      <c r="G267" s="7" t="s">
        <v>1691</v>
      </c>
      <c r="H267" s="7" t="s">
        <v>1691</v>
      </c>
      <c r="I267" s="7" t="s">
        <v>1691</v>
      </c>
      <c r="J267" s="7" t="s">
        <v>1691</v>
      </c>
      <c r="K267" s="7" t="s">
        <v>1691</v>
      </c>
      <c r="L267" s="7" t="s">
        <v>1691</v>
      </c>
      <c r="M267" s="7" t="s">
        <v>1691</v>
      </c>
      <c r="N267" s="7" t="s">
        <v>1691</v>
      </c>
      <c r="O267" s="5" t="s">
        <v>262</v>
      </c>
      <c r="P267" s="45">
        <v>9.7200000000000006</v>
      </c>
      <c r="Q267" s="47">
        <f t="shared" si="3"/>
        <v>10.340425656000001</v>
      </c>
      <c r="R267" s="4">
        <v>180</v>
      </c>
      <c r="S267" s="4">
        <v>12</v>
      </c>
    </row>
    <row r="268" spans="2:19" ht="11.25" x14ac:dyDescent="0.15">
      <c r="B268" s="3">
        <v>4218821</v>
      </c>
      <c r="C268" s="4">
        <v>257</v>
      </c>
      <c r="D268" s="6">
        <v>439</v>
      </c>
      <c r="E268" s="7"/>
      <c r="F268" s="7" t="s">
        <v>1691</v>
      </c>
      <c r="G268" s="7" t="s">
        <v>1691</v>
      </c>
      <c r="H268" s="7" t="s">
        <v>1691</v>
      </c>
      <c r="I268" s="7" t="s">
        <v>1691</v>
      </c>
      <c r="J268" s="7" t="s">
        <v>1691</v>
      </c>
      <c r="K268" s="7" t="s">
        <v>1691</v>
      </c>
      <c r="L268" s="7" t="s">
        <v>1691</v>
      </c>
      <c r="M268" s="7" t="s">
        <v>1691</v>
      </c>
      <c r="N268" s="7" t="s">
        <v>1691</v>
      </c>
      <c r="O268" s="5" t="s">
        <v>263</v>
      </c>
      <c r="P268" s="45">
        <v>21.87</v>
      </c>
      <c r="Q268" s="47">
        <f t="shared" si="3"/>
        <v>23.265957726</v>
      </c>
      <c r="R268" s="4">
        <v>180</v>
      </c>
      <c r="S268" s="4">
        <v>12</v>
      </c>
    </row>
    <row r="269" spans="2:19" ht="11.25" x14ac:dyDescent="0.15">
      <c r="B269" s="3">
        <v>4218822</v>
      </c>
      <c r="C269" s="4">
        <v>258</v>
      </c>
      <c r="D269" s="6">
        <v>440</v>
      </c>
      <c r="E269" s="7"/>
      <c r="F269" s="7" t="s">
        <v>1691</v>
      </c>
      <c r="G269" s="7" t="s">
        <v>1691</v>
      </c>
      <c r="H269" s="7" t="s">
        <v>1691</v>
      </c>
      <c r="I269" s="7" t="s">
        <v>1691</v>
      </c>
      <c r="J269" s="7" t="s">
        <v>1691</v>
      </c>
      <c r="K269" s="7" t="s">
        <v>1691</v>
      </c>
      <c r="L269" s="7" t="s">
        <v>1691</v>
      </c>
      <c r="M269" s="7" t="s">
        <v>1691</v>
      </c>
      <c r="N269" s="7" t="s">
        <v>1691</v>
      </c>
      <c r="O269" s="5" t="s">
        <v>264</v>
      </c>
      <c r="P269" s="45">
        <v>35.630000000000003</v>
      </c>
      <c r="Q269" s="47">
        <f t="shared" si="3"/>
        <v>37.904255773999999</v>
      </c>
      <c r="R269" s="4">
        <v>180</v>
      </c>
      <c r="S269" s="4">
        <v>12</v>
      </c>
    </row>
    <row r="270" spans="2:19" ht="11.25" x14ac:dyDescent="0.15">
      <c r="B270" s="3">
        <v>4218823</v>
      </c>
      <c r="C270" s="4">
        <v>259</v>
      </c>
      <c r="D270" s="6">
        <v>441</v>
      </c>
      <c r="E270" s="7"/>
      <c r="F270" s="7" t="s">
        <v>1691</v>
      </c>
      <c r="G270" s="7" t="s">
        <v>1691</v>
      </c>
      <c r="H270" s="7" t="s">
        <v>1691</v>
      </c>
      <c r="I270" s="7" t="s">
        <v>1691</v>
      </c>
      <c r="J270" s="7" t="s">
        <v>1691</v>
      </c>
      <c r="K270" s="7" t="s">
        <v>1691</v>
      </c>
      <c r="L270" s="7" t="s">
        <v>1691</v>
      </c>
      <c r="M270" s="7" t="s">
        <v>1691</v>
      </c>
      <c r="N270" s="7" t="s">
        <v>1691</v>
      </c>
      <c r="O270" s="5" t="s">
        <v>265</v>
      </c>
      <c r="P270" s="45">
        <v>20.46</v>
      </c>
      <c r="Q270" s="47">
        <f t="shared" si="3"/>
        <v>21.765957707999998</v>
      </c>
      <c r="R270" s="4">
        <v>180</v>
      </c>
      <c r="S270" s="4">
        <v>12</v>
      </c>
    </row>
    <row r="271" spans="2:19" ht="11.25" x14ac:dyDescent="0.15">
      <c r="B271" s="3">
        <v>4218824</v>
      </c>
      <c r="C271" s="4">
        <v>260</v>
      </c>
      <c r="D271" s="6">
        <v>444</v>
      </c>
      <c r="E271" s="7"/>
      <c r="F271" s="7" t="s">
        <v>1691</v>
      </c>
      <c r="G271" s="7"/>
      <c r="H271" s="7"/>
      <c r="I271" s="7" t="s">
        <v>1691</v>
      </c>
      <c r="J271" s="7"/>
      <c r="K271" s="7"/>
      <c r="L271" s="7"/>
      <c r="M271" s="7"/>
      <c r="N271" s="7"/>
      <c r="O271" s="5" t="s">
        <v>266</v>
      </c>
      <c r="P271" s="45">
        <v>3079.92</v>
      </c>
      <c r="Q271" s="47">
        <f t="shared" si="3"/>
        <v>3276.5106776160001</v>
      </c>
      <c r="R271" s="4">
        <v>180</v>
      </c>
      <c r="S271" s="4">
        <v>12</v>
      </c>
    </row>
    <row r="272" spans="2:19" ht="11.25" x14ac:dyDescent="0.15">
      <c r="B272" s="3">
        <v>4218825</v>
      </c>
      <c r="C272" s="4">
        <v>261</v>
      </c>
      <c r="D272" s="6">
        <v>447</v>
      </c>
      <c r="E272" s="7"/>
      <c r="F272" s="7"/>
      <c r="G272" s="7" t="s">
        <v>1691</v>
      </c>
      <c r="H272" s="7"/>
      <c r="I272" s="7"/>
      <c r="J272" s="7" t="s">
        <v>1691</v>
      </c>
      <c r="K272" s="7" t="s">
        <v>1691</v>
      </c>
      <c r="L272" s="7" t="s">
        <v>1691</v>
      </c>
      <c r="M272" s="7" t="s">
        <v>1691</v>
      </c>
      <c r="N272" s="7"/>
      <c r="O272" s="5" t="s">
        <v>267</v>
      </c>
      <c r="P272" s="45">
        <v>4627.62</v>
      </c>
      <c r="Q272" s="47">
        <f t="shared" ref="Q272:Q335" si="4">P272*1.0638298</f>
        <v>4923.0000590759992</v>
      </c>
      <c r="R272" s="4">
        <v>180</v>
      </c>
      <c r="S272" s="4">
        <v>12</v>
      </c>
    </row>
    <row r="273" spans="2:19" ht="11.25" x14ac:dyDescent="0.15">
      <c r="B273" s="3">
        <v>4218826</v>
      </c>
      <c r="C273" s="4">
        <v>262</v>
      </c>
      <c r="D273" s="6">
        <v>740</v>
      </c>
      <c r="E273" s="7"/>
      <c r="F273" s="7"/>
      <c r="G273" s="7"/>
      <c r="H273" s="7" t="s">
        <v>1691</v>
      </c>
      <c r="I273" s="7"/>
      <c r="J273" s="7"/>
      <c r="K273" s="7"/>
      <c r="L273" s="7"/>
      <c r="M273" s="7"/>
      <c r="N273" s="7" t="s">
        <v>1691</v>
      </c>
      <c r="O273" s="5" t="s">
        <v>268</v>
      </c>
      <c r="P273" s="45">
        <v>6074.72</v>
      </c>
      <c r="Q273" s="47">
        <f t="shared" si="4"/>
        <v>6462.4681626559995</v>
      </c>
      <c r="R273" s="4">
        <v>180</v>
      </c>
      <c r="S273" s="4">
        <v>12</v>
      </c>
    </row>
    <row r="274" spans="2:19" ht="11.25" x14ac:dyDescent="0.15">
      <c r="B274" s="3">
        <v>4218827</v>
      </c>
      <c r="C274" s="4">
        <v>263</v>
      </c>
      <c r="D274" s="6">
        <v>456</v>
      </c>
      <c r="E274" s="7"/>
      <c r="F274" s="7" t="s">
        <v>1691</v>
      </c>
      <c r="G274" s="7" t="s">
        <v>1691</v>
      </c>
      <c r="H274" s="7" t="s">
        <v>1691</v>
      </c>
      <c r="I274" s="7" t="s">
        <v>1691</v>
      </c>
      <c r="J274" s="7" t="s">
        <v>1691</v>
      </c>
      <c r="K274" s="7" t="s">
        <v>1691</v>
      </c>
      <c r="L274" s="7" t="s">
        <v>1691</v>
      </c>
      <c r="M274" s="7" t="s">
        <v>1691</v>
      </c>
      <c r="N274" s="7" t="s">
        <v>1691</v>
      </c>
      <c r="O274" s="5" t="s">
        <v>269</v>
      </c>
      <c r="P274" s="45">
        <v>801.36</v>
      </c>
      <c r="Q274" s="47">
        <f t="shared" si="4"/>
        <v>852.51064852799993</v>
      </c>
      <c r="R274" s="4">
        <v>180</v>
      </c>
      <c r="S274" s="4">
        <v>12</v>
      </c>
    </row>
    <row r="275" spans="2:19" ht="11.25" x14ac:dyDescent="0.15">
      <c r="B275" s="3">
        <v>4218828</v>
      </c>
      <c r="C275" s="4">
        <v>264</v>
      </c>
      <c r="D275" s="6">
        <v>459</v>
      </c>
      <c r="E275" s="7"/>
      <c r="F275" s="7" t="s">
        <v>1691</v>
      </c>
      <c r="G275" s="7" t="s">
        <v>1691</v>
      </c>
      <c r="H275" s="7" t="s">
        <v>1691</v>
      </c>
      <c r="I275" s="7" t="s">
        <v>1691</v>
      </c>
      <c r="J275" s="7" t="s">
        <v>1691</v>
      </c>
      <c r="K275" s="7" t="s">
        <v>1691</v>
      </c>
      <c r="L275" s="7" t="s">
        <v>1691</v>
      </c>
      <c r="M275" s="7" t="s">
        <v>1691</v>
      </c>
      <c r="N275" s="7" t="s">
        <v>1691</v>
      </c>
      <c r="O275" s="5" t="s">
        <v>270</v>
      </c>
      <c r="P275" s="45">
        <v>154.38999999999999</v>
      </c>
      <c r="Q275" s="47">
        <f t="shared" si="4"/>
        <v>164.24468282199999</v>
      </c>
      <c r="R275" s="4">
        <v>180</v>
      </c>
      <c r="S275" s="4">
        <v>12</v>
      </c>
    </row>
    <row r="276" spans="2:19" ht="11.25" x14ac:dyDescent="0.15">
      <c r="B276" s="3">
        <v>4218829</v>
      </c>
      <c r="C276" s="4">
        <v>265</v>
      </c>
      <c r="D276" s="6">
        <v>461</v>
      </c>
      <c r="E276" s="7"/>
      <c r="F276" s="7" t="s">
        <v>1691</v>
      </c>
      <c r="G276" s="7" t="s">
        <v>1691</v>
      </c>
      <c r="H276" s="7" t="s">
        <v>1691</v>
      </c>
      <c r="I276" s="7" t="s">
        <v>1691</v>
      </c>
      <c r="J276" s="7" t="s">
        <v>1691</v>
      </c>
      <c r="K276" s="7" t="s">
        <v>1691</v>
      </c>
      <c r="L276" s="7" t="s">
        <v>1691</v>
      </c>
      <c r="M276" s="7" t="s">
        <v>1691</v>
      </c>
      <c r="N276" s="7" t="s">
        <v>1691</v>
      </c>
      <c r="O276" s="5" t="s">
        <v>271</v>
      </c>
      <c r="P276" s="45">
        <v>58.74</v>
      </c>
      <c r="Q276" s="47">
        <f t="shared" si="4"/>
        <v>62.489362452000002</v>
      </c>
      <c r="R276" s="4">
        <v>180</v>
      </c>
      <c r="S276" s="4">
        <v>12</v>
      </c>
    </row>
    <row r="277" spans="2:19" ht="11.25" x14ac:dyDescent="0.15">
      <c r="B277" s="3">
        <v>4218830</v>
      </c>
      <c r="C277" s="4">
        <v>266</v>
      </c>
      <c r="D277" s="6">
        <v>462</v>
      </c>
      <c r="E277" s="7"/>
      <c r="F277" s="7" t="s">
        <v>1691</v>
      </c>
      <c r="G277" s="7" t="s">
        <v>1691</v>
      </c>
      <c r="H277" s="7" t="s">
        <v>1691</v>
      </c>
      <c r="I277" s="7" t="s">
        <v>1691</v>
      </c>
      <c r="J277" s="7" t="s">
        <v>1691</v>
      </c>
      <c r="K277" s="7" t="s">
        <v>1691</v>
      </c>
      <c r="L277" s="7" t="s">
        <v>1691</v>
      </c>
      <c r="M277" s="7" t="s">
        <v>1691</v>
      </c>
      <c r="N277" s="7" t="s">
        <v>1691</v>
      </c>
      <c r="O277" s="5" t="s">
        <v>272</v>
      </c>
      <c r="P277" s="45">
        <v>40.85</v>
      </c>
      <c r="Q277" s="47">
        <f t="shared" si="4"/>
        <v>43.457447330000001</v>
      </c>
      <c r="R277" s="4">
        <v>180</v>
      </c>
      <c r="S277" s="4">
        <v>12</v>
      </c>
    </row>
    <row r="278" spans="2:19" ht="11.25" x14ac:dyDescent="0.15">
      <c r="B278" s="3">
        <v>4218831</v>
      </c>
      <c r="C278" s="4">
        <v>267</v>
      </c>
      <c r="D278" s="6">
        <v>463</v>
      </c>
      <c r="E278" s="7"/>
      <c r="F278" s="7" t="s">
        <v>1691</v>
      </c>
      <c r="G278" s="7" t="s">
        <v>1691</v>
      </c>
      <c r="H278" s="7" t="s">
        <v>1691</v>
      </c>
      <c r="I278" s="7" t="s">
        <v>1691</v>
      </c>
      <c r="J278" s="7" t="s">
        <v>1691</v>
      </c>
      <c r="K278" s="7" t="s">
        <v>1691</v>
      </c>
      <c r="L278" s="7" t="s">
        <v>1691</v>
      </c>
      <c r="M278" s="7" t="s">
        <v>1691</v>
      </c>
      <c r="N278" s="7" t="s">
        <v>1691</v>
      </c>
      <c r="O278" s="5" t="s">
        <v>273</v>
      </c>
      <c r="P278" s="45">
        <v>394.82</v>
      </c>
      <c r="Q278" s="47">
        <f t="shared" si="4"/>
        <v>420.02128163599997</v>
      </c>
      <c r="R278" s="4">
        <v>180</v>
      </c>
      <c r="S278" s="4">
        <v>12</v>
      </c>
    </row>
    <row r="279" spans="2:19" ht="11.25" x14ac:dyDescent="0.15">
      <c r="B279" s="3">
        <v>4218832</v>
      </c>
      <c r="C279" s="4">
        <v>268</v>
      </c>
      <c r="D279" s="6">
        <v>464</v>
      </c>
      <c r="E279" s="7"/>
      <c r="F279" s="7"/>
      <c r="G279" s="7"/>
      <c r="H279" s="7"/>
      <c r="I279" s="7" t="s">
        <v>1691</v>
      </c>
      <c r="J279" s="7"/>
      <c r="K279" s="7"/>
      <c r="L279" s="7"/>
      <c r="M279" s="7"/>
      <c r="N279" s="7"/>
      <c r="O279" s="5" t="s">
        <v>274</v>
      </c>
      <c r="P279" s="45">
        <v>7750.88</v>
      </c>
      <c r="Q279" s="47">
        <f t="shared" si="4"/>
        <v>8245.6171202240002</v>
      </c>
      <c r="R279" s="4">
        <v>180</v>
      </c>
      <c r="S279" s="4">
        <v>12</v>
      </c>
    </row>
    <row r="280" spans="2:19" ht="11.25" x14ac:dyDescent="0.15">
      <c r="B280" s="3">
        <v>4218833</v>
      </c>
      <c r="C280" s="4">
        <v>269</v>
      </c>
      <c r="D280" s="6">
        <v>465</v>
      </c>
      <c r="E280" s="7"/>
      <c r="F280" s="7" t="s">
        <v>1691</v>
      </c>
      <c r="G280" s="7"/>
      <c r="H280" s="7"/>
      <c r="I280" s="7"/>
      <c r="J280" s="7"/>
      <c r="K280" s="7"/>
      <c r="L280" s="7"/>
      <c r="M280" s="7"/>
      <c r="N280" s="7"/>
      <c r="O280" s="5" t="s">
        <v>275</v>
      </c>
      <c r="P280" s="45">
        <v>13876.68</v>
      </c>
      <c r="Q280" s="47">
        <f t="shared" si="4"/>
        <v>14762.425709064</v>
      </c>
      <c r="R280" s="4">
        <v>180</v>
      </c>
      <c r="S280" s="4">
        <v>12</v>
      </c>
    </row>
    <row r="281" spans="2:19" ht="11.25" x14ac:dyDescent="0.15">
      <c r="B281" s="3">
        <v>4218834</v>
      </c>
      <c r="C281" s="4">
        <v>270</v>
      </c>
      <c r="D281" s="6">
        <v>470</v>
      </c>
      <c r="E281" s="7"/>
      <c r="F281" s="7"/>
      <c r="G281" s="7"/>
      <c r="H281" s="7"/>
      <c r="I281" s="7" t="s">
        <v>1691</v>
      </c>
      <c r="J281" s="7"/>
      <c r="K281" s="7"/>
      <c r="L281" s="7"/>
      <c r="M281" s="7"/>
      <c r="N281" s="7"/>
      <c r="O281" s="5" t="s">
        <v>276</v>
      </c>
      <c r="P281" s="45">
        <v>1160.78</v>
      </c>
      <c r="Q281" s="47">
        <f t="shared" si="4"/>
        <v>1234.8723552439999</v>
      </c>
      <c r="R281" s="4">
        <v>180</v>
      </c>
      <c r="S281" s="4">
        <v>12</v>
      </c>
    </row>
    <row r="282" spans="2:19" ht="11.25" x14ac:dyDescent="0.15">
      <c r="B282" s="3">
        <v>4218835</v>
      </c>
      <c r="C282" s="4">
        <v>271</v>
      </c>
      <c r="D282" s="6">
        <v>473</v>
      </c>
      <c r="E282" s="7"/>
      <c r="F282" s="7"/>
      <c r="G282" s="7"/>
      <c r="H282" s="7"/>
      <c r="I282" s="7" t="s">
        <v>1691</v>
      </c>
      <c r="J282" s="7"/>
      <c r="K282" s="7"/>
      <c r="L282" s="7"/>
      <c r="M282" s="7"/>
      <c r="N282" s="7"/>
      <c r="O282" s="5" t="s">
        <v>277</v>
      </c>
      <c r="P282" s="45">
        <v>4208.51</v>
      </c>
      <c r="Q282" s="47">
        <f t="shared" si="4"/>
        <v>4477.1383515979996</v>
      </c>
      <c r="R282" s="4">
        <v>180</v>
      </c>
      <c r="S282" s="4">
        <v>12</v>
      </c>
    </row>
    <row r="283" spans="2:19" ht="11.25" x14ac:dyDescent="0.15">
      <c r="B283" s="3">
        <v>4218836</v>
      </c>
      <c r="C283" s="4">
        <v>272</v>
      </c>
      <c r="D283" s="6">
        <v>474</v>
      </c>
      <c r="E283" s="7"/>
      <c r="F283" s="7" t="s">
        <v>1691</v>
      </c>
      <c r="G283" s="7"/>
      <c r="H283" s="7"/>
      <c r="I283" s="7" t="s">
        <v>1691</v>
      </c>
      <c r="J283" s="7"/>
      <c r="K283" s="7"/>
      <c r="L283" s="7"/>
      <c r="M283" s="7"/>
      <c r="N283" s="7"/>
      <c r="O283" s="5" t="s">
        <v>278</v>
      </c>
      <c r="P283" s="45">
        <v>4208.51</v>
      </c>
      <c r="Q283" s="47">
        <f t="shared" si="4"/>
        <v>4477.1383515979996</v>
      </c>
      <c r="R283" s="4">
        <v>180</v>
      </c>
      <c r="S283" s="4">
        <v>12</v>
      </c>
    </row>
    <row r="284" spans="2:19" ht="11.25" x14ac:dyDescent="0.15">
      <c r="B284" s="3">
        <v>4218837</v>
      </c>
      <c r="C284" s="4">
        <v>273</v>
      </c>
      <c r="D284" s="6" t="s">
        <v>1104</v>
      </c>
      <c r="E284" s="7" t="s">
        <v>279</v>
      </c>
      <c r="F284" s="7" t="s">
        <v>1691</v>
      </c>
      <c r="G284" s="7"/>
      <c r="H284" s="7"/>
      <c r="I284" s="7" t="s">
        <v>1691</v>
      </c>
      <c r="J284" s="7"/>
      <c r="K284" s="7"/>
      <c r="L284" s="7"/>
      <c r="M284" s="7"/>
      <c r="N284" s="7"/>
      <c r="O284" s="5" t="s">
        <v>1701</v>
      </c>
      <c r="P284" s="45">
        <v>16134.15</v>
      </c>
      <c r="Q284" s="47">
        <f t="shared" si="4"/>
        <v>17163.98956767</v>
      </c>
      <c r="R284" s="4">
        <v>180</v>
      </c>
      <c r="S284" s="4">
        <v>12</v>
      </c>
    </row>
    <row r="285" spans="2:19" ht="11.25" x14ac:dyDescent="0.15">
      <c r="B285" s="3">
        <v>4218838</v>
      </c>
      <c r="C285" s="4">
        <v>274</v>
      </c>
      <c r="D285" s="6" t="s">
        <v>1105</v>
      </c>
      <c r="E285" s="7" t="s">
        <v>280</v>
      </c>
      <c r="F285" s="7"/>
      <c r="G285" s="7"/>
      <c r="H285" s="7"/>
      <c r="I285" s="7" t="s">
        <v>1691</v>
      </c>
      <c r="J285" s="7"/>
      <c r="K285" s="7"/>
      <c r="L285" s="7"/>
      <c r="M285" s="7"/>
      <c r="N285" s="7"/>
      <c r="O285" s="5" t="s">
        <v>1702</v>
      </c>
      <c r="P285" s="45">
        <v>18321.89</v>
      </c>
      <c r="Q285" s="47">
        <f t="shared" si="4"/>
        <v>19491.372574321998</v>
      </c>
      <c r="R285" s="4">
        <v>180</v>
      </c>
      <c r="S285" s="4">
        <v>12</v>
      </c>
    </row>
    <row r="286" spans="2:19" ht="11.25" x14ac:dyDescent="0.15">
      <c r="B286" s="3">
        <v>4218839</v>
      </c>
      <c r="C286" s="4">
        <v>275</v>
      </c>
      <c r="D286" s="6" t="s">
        <v>1106</v>
      </c>
      <c r="E286" s="7" t="s">
        <v>281</v>
      </c>
      <c r="F286" s="7"/>
      <c r="G286" s="7"/>
      <c r="H286" s="7"/>
      <c r="I286" s="7" t="s">
        <v>1691</v>
      </c>
      <c r="J286" s="7"/>
      <c r="K286" s="7"/>
      <c r="L286" s="7"/>
      <c r="M286" s="7"/>
      <c r="N286" s="7"/>
      <c r="O286" s="5" t="s">
        <v>1703</v>
      </c>
      <c r="P286" s="45">
        <v>20930.29</v>
      </c>
      <c r="Q286" s="47">
        <f t="shared" si="4"/>
        <v>22266.266224642</v>
      </c>
      <c r="R286" s="4">
        <v>180</v>
      </c>
      <c r="S286" s="4">
        <v>12</v>
      </c>
    </row>
    <row r="287" spans="2:19" ht="11.25" x14ac:dyDescent="0.15">
      <c r="B287" s="3">
        <v>4218840</v>
      </c>
      <c r="C287" s="4">
        <v>276</v>
      </c>
      <c r="D287" s="6" t="s">
        <v>1107</v>
      </c>
      <c r="E287" s="7" t="s">
        <v>282</v>
      </c>
      <c r="F287" s="7"/>
      <c r="G287" s="7"/>
      <c r="H287" s="7"/>
      <c r="I287" s="7" t="s">
        <v>1691</v>
      </c>
      <c r="J287" s="7"/>
      <c r="K287" s="7"/>
      <c r="L287" s="7"/>
      <c r="M287" s="7"/>
      <c r="N287" s="7"/>
      <c r="O287" s="5" t="s">
        <v>1704</v>
      </c>
      <c r="P287" s="45">
        <v>16450.080000000002</v>
      </c>
      <c r="Q287" s="47">
        <f t="shared" si="4"/>
        <v>17500.085316384</v>
      </c>
      <c r="R287" s="4">
        <v>180</v>
      </c>
      <c r="S287" s="4">
        <v>12</v>
      </c>
    </row>
    <row r="288" spans="2:19" ht="11.25" x14ac:dyDescent="0.15">
      <c r="B288" s="3">
        <v>4218841</v>
      </c>
      <c r="C288" s="4">
        <v>277</v>
      </c>
      <c r="D288" s="6" t="s">
        <v>1108</v>
      </c>
      <c r="E288" s="7" t="s">
        <v>283</v>
      </c>
      <c r="F288" s="7"/>
      <c r="G288" s="7"/>
      <c r="H288" s="7"/>
      <c r="I288" s="7" t="s">
        <v>1691</v>
      </c>
      <c r="J288" s="7"/>
      <c r="K288" s="7"/>
      <c r="L288" s="7"/>
      <c r="M288" s="7"/>
      <c r="N288" s="7"/>
      <c r="O288" s="5" t="s">
        <v>1705</v>
      </c>
      <c r="P288" s="45">
        <v>17256.12</v>
      </c>
      <c r="Q288" s="47">
        <f t="shared" si="4"/>
        <v>18357.574688375997</v>
      </c>
      <c r="R288" s="4">
        <v>180</v>
      </c>
      <c r="S288" s="4">
        <v>12</v>
      </c>
    </row>
    <row r="289" spans="2:19" ht="11.25" x14ac:dyDescent="0.15">
      <c r="B289" s="3">
        <v>4218842</v>
      </c>
      <c r="C289" s="4">
        <v>278</v>
      </c>
      <c r="D289" s="6" t="s">
        <v>1109</v>
      </c>
      <c r="E289" s="7" t="s">
        <v>284</v>
      </c>
      <c r="F289" s="7" t="s">
        <v>1691</v>
      </c>
      <c r="G289" s="7"/>
      <c r="H289" s="7"/>
      <c r="I289" s="7"/>
      <c r="J289" s="7"/>
      <c r="K289" s="7"/>
      <c r="L289" s="7"/>
      <c r="M289" s="7"/>
      <c r="N289" s="7"/>
      <c r="O289" s="5" t="s">
        <v>1706</v>
      </c>
      <c r="P289" s="45">
        <v>23866.02</v>
      </c>
      <c r="Q289" s="47">
        <f t="shared" si="4"/>
        <v>25389.383283396</v>
      </c>
      <c r="R289" s="4">
        <v>180</v>
      </c>
      <c r="S289" s="4">
        <v>12</v>
      </c>
    </row>
    <row r="290" spans="2:19" ht="11.25" x14ac:dyDescent="0.15">
      <c r="B290" s="3">
        <v>4218843</v>
      </c>
      <c r="C290" s="4">
        <v>279</v>
      </c>
      <c r="D290" s="6" t="s">
        <v>1110</v>
      </c>
      <c r="E290" s="7" t="s">
        <v>285</v>
      </c>
      <c r="F290" s="7" t="s">
        <v>1691</v>
      </c>
      <c r="G290" s="7"/>
      <c r="H290" s="7"/>
      <c r="I290" s="7"/>
      <c r="J290" s="7"/>
      <c r="K290" s="7"/>
      <c r="L290" s="7"/>
      <c r="M290" s="7"/>
      <c r="N290" s="7"/>
      <c r="O290" s="5" t="s">
        <v>1707</v>
      </c>
      <c r="P290" s="45">
        <v>17991.37</v>
      </c>
      <c r="Q290" s="47">
        <f t="shared" si="4"/>
        <v>19139.755548825997</v>
      </c>
      <c r="R290" s="4">
        <v>180</v>
      </c>
      <c r="S290" s="4">
        <v>12</v>
      </c>
    </row>
    <row r="291" spans="2:19" ht="11.25" x14ac:dyDescent="0.15">
      <c r="B291" s="3">
        <v>4218844</v>
      </c>
      <c r="C291" s="4">
        <v>280</v>
      </c>
      <c r="D291" s="6" t="s">
        <v>1111</v>
      </c>
      <c r="E291" s="7" t="s">
        <v>286</v>
      </c>
      <c r="F291" s="7" t="s">
        <v>1691</v>
      </c>
      <c r="G291" s="7"/>
      <c r="H291" s="7"/>
      <c r="I291" s="7"/>
      <c r="J291" s="7"/>
      <c r="K291" s="7"/>
      <c r="L291" s="7"/>
      <c r="M291" s="7"/>
      <c r="N291" s="7"/>
      <c r="O291" s="5" t="s">
        <v>1708</v>
      </c>
      <c r="P291" s="45">
        <v>22377.7</v>
      </c>
      <c r="Q291" s="47">
        <f t="shared" si="4"/>
        <v>23806.064115459998</v>
      </c>
      <c r="R291" s="4">
        <v>180</v>
      </c>
      <c r="S291" s="4">
        <v>12</v>
      </c>
    </row>
    <row r="292" spans="2:19" ht="11.25" x14ac:dyDescent="0.15">
      <c r="B292" s="3">
        <v>4218845</v>
      </c>
      <c r="C292" s="4">
        <v>281</v>
      </c>
      <c r="D292" s="6" t="s">
        <v>1112</v>
      </c>
      <c r="E292" s="7" t="s">
        <v>287</v>
      </c>
      <c r="F292" s="7" t="s">
        <v>1691</v>
      </c>
      <c r="G292" s="7"/>
      <c r="H292" s="7"/>
      <c r="I292" s="7"/>
      <c r="J292" s="7"/>
      <c r="K292" s="7"/>
      <c r="L292" s="7"/>
      <c r="M292" s="7"/>
      <c r="N292" s="7"/>
      <c r="O292" s="5" t="s">
        <v>1709</v>
      </c>
      <c r="P292" s="45">
        <v>21386.18</v>
      </c>
      <c r="Q292" s="47">
        <f t="shared" si="4"/>
        <v>22751.255592163998</v>
      </c>
      <c r="R292" s="4">
        <v>180</v>
      </c>
      <c r="S292" s="4">
        <v>12</v>
      </c>
    </row>
    <row r="293" spans="2:19" ht="11.25" x14ac:dyDescent="0.15">
      <c r="B293" s="3">
        <v>4218846</v>
      </c>
      <c r="C293" s="4">
        <v>282</v>
      </c>
      <c r="D293" s="6" t="s">
        <v>1113</v>
      </c>
      <c r="E293" s="7" t="s">
        <v>288</v>
      </c>
      <c r="F293" s="7"/>
      <c r="G293" s="7"/>
      <c r="H293" s="7"/>
      <c r="I293" s="7"/>
      <c r="J293" s="7" t="s">
        <v>1691</v>
      </c>
      <c r="K293" s="7"/>
      <c r="L293" s="7"/>
      <c r="M293" s="7"/>
      <c r="N293" s="7"/>
      <c r="O293" s="5" t="s">
        <v>1710</v>
      </c>
      <c r="P293" s="45">
        <v>20796.09</v>
      </c>
      <c r="Q293" s="47">
        <f t="shared" si="4"/>
        <v>22123.500265481998</v>
      </c>
      <c r="R293" s="4">
        <v>180</v>
      </c>
      <c r="S293" s="4">
        <v>12</v>
      </c>
    </row>
    <row r="294" spans="2:19" ht="11.25" x14ac:dyDescent="0.15">
      <c r="B294" s="3">
        <v>4218847</v>
      </c>
      <c r="C294" s="4">
        <v>283</v>
      </c>
      <c r="D294" s="6" t="s">
        <v>1114</v>
      </c>
      <c r="E294" s="7" t="s">
        <v>289</v>
      </c>
      <c r="F294" s="7"/>
      <c r="G294" s="7"/>
      <c r="H294" s="7"/>
      <c r="I294" s="7"/>
      <c r="K294" s="7" t="s">
        <v>1691</v>
      </c>
      <c r="L294" s="7"/>
      <c r="M294" s="7"/>
      <c r="N294" s="7"/>
      <c r="O294" s="5" t="s">
        <v>1711</v>
      </c>
      <c r="P294" s="45">
        <v>22486.9</v>
      </c>
      <c r="Q294" s="47">
        <f t="shared" si="4"/>
        <v>23922.234329620002</v>
      </c>
      <c r="R294" s="4">
        <v>180</v>
      </c>
      <c r="S294" s="4">
        <v>12</v>
      </c>
    </row>
    <row r="295" spans="2:19" ht="11.25" x14ac:dyDescent="0.15">
      <c r="B295" s="3">
        <v>4218848</v>
      </c>
      <c r="C295" s="4">
        <v>284</v>
      </c>
      <c r="D295" s="6" t="s">
        <v>1115</v>
      </c>
      <c r="E295" s="7" t="s">
        <v>288</v>
      </c>
      <c r="F295" s="7"/>
      <c r="G295" s="7"/>
      <c r="H295" s="7"/>
      <c r="I295" s="7"/>
      <c r="J295" s="7"/>
      <c r="K295" s="7" t="s">
        <v>1691</v>
      </c>
      <c r="L295" s="7"/>
      <c r="M295" s="7"/>
      <c r="N295" s="7"/>
      <c r="O295" s="5" t="s">
        <v>1710</v>
      </c>
      <c r="P295" s="45">
        <v>20796.09</v>
      </c>
      <c r="Q295" s="47">
        <f t="shared" si="4"/>
        <v>22123.500265481998</v>
      </c>
      <c r="R295" s="4">
        <v>180</v>
      </c>
      <c r="S295" s="4">
        <v>12</v>
      </c>
    </row>
    <row r="296" spans="2:19" ht="11.25" x14ac:dyDescent="0.15">
      <c r="B296" s="3">
        <v>4218849</v>
      </c>
      <c r="C296" s="4">
        <v>285</v>
      </c>
      <c r="D296" s="6" t="s">
        <v>1116</v>
      </c>
      <c r="E296" s="7" t="s">
        <v>288</v>
      </c>
      <c r="F296" s="7"/>
      <c r="G296" s="7"/>
      <c r="H296" s="7"/>
      <c r="I296" s="7"/>
      <c r="J296" s="7"/>
      <c r="K296" s="7"/>
      <c r="L296" s="7" t="s">
        <v>1691</v>
      </c>
      <c r="M296" s="7"/>
      <c r="N296" s="7"/>
      <c r="O296" s="5" t="s">
        <v>1710</v>
      </c>
      <c r="P296" s="45">
        <v>20796.09</v>
      </c>
      <c r="Q296" s="47">
        <f t="shared" si="4"/>
        <v>22123.500265481998</v>
      </c>
      <c r="R296" s="4">
        <v>180</v>
      </c>
      <c r="S296" s="4">
        <v>12</v>
      </c>
    </row>
    <row r="297" spans="2:19" ht="11.25" x14ac:dyDescent="0.15">
      <c r="B297" s="3">
        <v>4218850</v>
      </c>
      <c r="C297" s="4">
        <v>286</v>
      </c>
      <c r="D297" s="6" t="s">
        <v>1117</v>
      </c>
      <c r="E297" s="7" t="s">
        <v>289</v>
      </c>
      <c r="F297" s="7"/>
      <c r="G297" s="7"/>
      <c r="H297" s="7"/>
      <c r="I297" s="7"/>
      <c r="J297" s="7"/>
      <c r="L297" s="7" t="s">
        <v>1691</v>
      </c>
      <c r="M297" s="7"/>
      <c r="N297" s="7"/>
      <c r="O297" s="5" t="s">
        <v>1712</v>
      </c>
      <c r="P297" s="45">
        <v>22486.9</v>
      </c>
      <c r="Q297" s="47">
        <f t="shared" si="4"/>
        <v>23922.234329620002</v>
      </c>
      <c r="R297" s="4">
        <v>180</v>
      </c>
      <c r="S297" s="4">
        <v>12</v>
      </c>
    </row>
    <row r="298" spans="2:19" ht="11.25" x14ac:dyDescent="0.15">
      <c r="B298" s="3">
        <v>4218851</v>
      </c>
      <c r="C298" s="4">
        <v>287</v>
      </c>
      <c r="D298" s="6" t="s">
        <v>1118</v>
      </c>
      <c r="E298" s="7" t="s">
        <v>290</v>
      </c>
      <c r="F298" s="7"/>
      <c r="G298" s="7"/>
      <c r="H298" s="7"/>
      <c r="I298" s="7"/>
      <c r="J298" s="7" t="s">
        <v>1691</v>
      </c>
      <c r="K298" s="7" t="s">
        <v>1691</v>
      </c>
      <c r="L298" s="7" t="s">
        <v>1691</v>
      </c>
      <c r="M298" s="7"/>
      <c r="N298" s="7"/>
      <c r="O298" s="5" t="s">
        <v>1713</v>
      </c>
      <c r="P298" s="45">
        <v>37396.83</v>
      </c>
      <c r="Q298" s="47">
        <f t="shared" si="4"/>
        <v>39783.862179534</v>
      </c>
      <c r="R298" s="4">
        <v>180</v>
      </c>
      <c r="S298" s="4">
        <v>12</v>
      </c>
    </row>
    <row r="299" spans="2:19" ht="11.25" x14ac:dyDescent="0.15">
      <c r="B299" s="3">
        <v>4218852</v>
      </c>
      <c r="C299" s="4">
        <v>288</v>
      </c>
      <c r="D299" s="6" t="s">
        <v>1119</v>
      </c>
      <c r="E299" s="7" t="s">
        <v>291</v>
      </c>
      <c r="F299" s="7"/>
      <c r="G299" s="7"/>
      <c r="H299" s="7"/>
      <c r="I299" s="7"/>
      <c r="J299" s="7" t="s">
        <v>1691</v>
      </c>
      <c r="K299" s="7"/>
      <c r="L299" s="7"/>
      <c r="M299" s="7"/>
      <c r="N299" s="7"/>
      <c r="O299" s="5" t="s">
        <v>1714</v>
      </c>
      <c r="P299" s="45">
        <v>23820.77</v>
      </c>
      <c r="Q299" s="47">
        <f t="shared" si="4"/>
        <v>25341.244984945999</v>
      </c>
      <c r="R299" s="4">
        <v>180</v>
      </c>
      <c r="S299" s="4">
        <v>12</v>
      </c>
    </row>
    <row r="300" spans="2:19" ht="11.25" x14ac:dyDescent="0.15">
      <c r="B300" s="3">
        <v>4218853</v>
      </c>
      <c r="C300" s="4">
        <v>289</v>
      </c>
      <c r="D300" s="6" t="s">
        <v>1120</v>
      </c>
      <c r="E300" s="7" t="s">
        <v>292</v>
      </c>
      <c r="F300" s="7"/>
      <c r="G300" s="7"/>
      <c r="H300" s="7"/>
      <c r="I300" s="7"/>
      <c r="J300" s="7" t="s">
        <v>1691</v>
      </c>
      <c r="K300" s="7"/>
      <c r="L300" s="7"/>
      <c r="M300" s="7"/>
      <c r="N300" s="7"/>
      <c r="O300" s="5" t="s">
        <v>1715</v>
      </c>
      <c r="P300" s="45">
        <v>24957.360000000001</v>
      </c>
      <c r="Q300" s="47">
        <f t="shared" si="4"/>
        <v>26550.383297328</v>
      </c>
      <c r="R300" s="4">
        <v>180</v>
      </c>
      <c r="S300" s="4">
        <v>12</v>
      </c>
    </row>
    <row r="301" spans="2:19" ht="11.25" x14ac:dyDescent="0.15">
      <c r="B301" s="3">
        <v>4218854</v>
      </c>
      <c r="C301" s="4">
        <v>290</v>
      </c>
      <c r="D301" s="6" t="s">
        <v>1121</v>
      </c>
      <c r="E301" s="7" t="s">
        <v>293</v>
      </c>
      <c r="F301" s="7"/>
      <c r="G301" s="7"/>
      <c r="H301" s="7"/>
      <c r="I301" s="7"/>
      <c r="J301" s="7" t="s">
        <v>1691</v>
      </c>
      <c r="K301" s="7" t="s">
        <v>1691</v>
      </c>
      <c r="L301" s="7" t="s">
        <v>1691</v>
      </c>
      <c r="M301" s="7"/>
      <c r="N301" s="7"/>
      <c r="O301" s="5" t="s">
        <v>1716</v>
      </c>
      <c r="P301" s="45">
        <v>23359.39</v>
      </c>
      <c r="Q301" s="47">
        <f t="shared" si="4"/>
        <v>24850.415191821998</v>
      </c>
      <c r="R301" s="4">
        <v>180</v>
      </c>
      <c r="S301" s="4">
        <v>12</v>
      </c>
    </row>
    <row r="302" spans="2:19" ht="11.25" x14ac:dyDescent="0.15">
      <c r="B302" s="3">
        <v>4218855</v>
      </c>
      <c r="C302" s="4">
        <v>291</v>
      </c>
      <c r="D302" s="6" t="s">
        <v>1122</v>
      </c>
      <c r="E302" s="7" t="s">
        <v>294</v>
      </c>
      <c r="F302" s="7"/>
      <c r="G302" s="7"/>
      <c r="H302" s="7"/>
      <c r="I302" s="7"/>
      <c r="J302" s="7" t="s">
        <v>1691</v>
      </c>
      <c r="K302" s="7"/>
      <c r="L302" s="7"/>
      <c r="M302" s="7"/>
      <c r="N302" s="7"/>
      <c r="O302" s="5" t="s">
        <v>1717</v>
      </c>
      <c r="P302" s="45">
        <v>35721.79</v>
      </c>
      <c r="Q302" s="47">
        <f t="shared" si="4"/>
        <v>38001.904711342002</v>
      </c>
      <c r="R302" s="4">
        <v>180</v>
      </c>
      <c r="S302" s="4">
        <v>12</v>
      </c>
    </row>
    <row r="303" spans="2:19" ht="11.25" x14ac:dyDescent="0.15">
      <c r="B303" s="3">
        <v>4218856</v>
      </c>
      <c r="C303" s="4">
        <v>292</v>
      </c>
      <c r="D303" s="6" t="s">
        <v>1123</v>
      </c>
      <c r="E303" s="7" t="s">
        <v>295</v>
      </c>
      <c r="F303" s="7"/>
      <c r="G303" s="7"/>
      <c r="H303" s="7"/>
      <c r="I303" s="7"/>
      <c r="J303" s="7" t="s">
        <v>1691</v>
      </c>
      <c r="K303" s="7"/>
      <c r="L303" s="7"/>
      <c r="M303" s="7"/>
      <c r="N303" s="7"/>
      <c r="O303" s="5" t="s">
        <v>1718</v>
      </c>
      <c r="P303" s="45">
        <v>28298.92</v>
      </c>
      <c r="Q303" s="47">
        <f t="shared" si="4"/>
        <v>30105.234403815997</v>
      </c>
      <c r="R303" s="4">
        <v>180</v>
      </c>
      <c r="S303" s="4">
        <v>12</v>
      </c>
    </row>
    <row r="304" spans="2:19" ht="11.25" x14ac:dyDescent="0.15">
      <c r="B304" s="3">
        <v>4218857</v>
      </c>
      <c r="C304" s="4">
        <v>293</v>
      </c>
      <c r="D304" s="6" t="s">
        <v>1124</v>
      </c>
      <c r="E304" s="7" t="s">
        <v>296</v>
      </c>
      <c r="F304" s="7"/>
      <c r="G304" s="7"/>
      <c r="H304" s="7"/>
      <c r="I304" s="7"/>
      <c r="J304" s="7" t="s">
        <v>1691</v>
      </c>
      <c r="K304" s="7"/>
      <c r="L304" s="7"/>
      <c r="M304" s="7"/>
      <c r="N304" s="7"/>
      <c r="O304" s="5" t="s">
        <v>1719</v>
      </c>
      <c r="P304" s="45">
        <v>29603.48</v>
      </c>
      <c r="Q304" s="47">
        <f t="shared" si="4"/>
        <v>31493.064207703999</v>
      </c>
      <c r="R304" s="4">
        <v>180</v>
      </c>
      <c r="S304" s="4">
        <v>12</v>
      </c>
    </row>
    <row r="305" spans="2:19" ht="11.25" x14ac:dyDescent="0.15">
      <c r="B305" s="3">
        <v>4218858</v>
      </c>
      <c r="C305" s="4">
        <v>294</v>
      </c>
      <c r="D305" s="6" t="s">
        <v>1125</v>
      </c>
      <c r="E305" s="7" t="s">
        <v>297</v>
      </c>
      <c r="F305" s="7"/>
      <c r="G305" s="7"/>
      <c r="H305" s="7"/>
      <c r="I305" s="7"/>
      <c r="J305" s="7" t="s">
        <v>1691</v>
      </c>
      <c r="K305" s="7"/>
      <c r="L305" s="7"/>
      <c r="M305" s="7"/>
      <c r="N305" s="7"/>
      <c r="O305" s="5" t="s">
        <v>1720</v>
      </c>
      <c r="P305" s="45">
        <v>28950.84</v>
      </c>
      <c r="Q305" s="47">
        <f t="shared" si="4"/>
        <v>30798.766327031997</v>
      </c>
      <c r="R305" s="4">
        <v>180</v>
      </c>
      <c r="S305" s="4">
        <v>12</v>
      </c>
    </row>
    <row r="306" spans="2:19" ht="11.25" x14ac:dyDescent="0.15">
      <c r="B306" s="3">
        <v>4218859</v>
      </c>
      <c r="C306" s="4">
        <v>295</v>
      </c>
      <c r="D306" s="6" t="s">
        <v>1126</v>
      </c>
      <c r="E306" s="7" t="s">
        <v>298</v>
      </c>
      <c r="F306" s="7"/>
      <c r="G306" s="7" t="s">
        <v>1691</v>
      </c>
      <c r="H306" s="7"/>
      <c r="I306" s="7"/>
      <c r="J306" s="7"/>
      <c r="K306" s="7"/>
      <c r="L306" s="7"/>
      <c r="M306" s="7"/>
      <c r="N306" s="7"/>
      <c r="O306" s="5" t="s">
        <v>1721</v>
      </c>
      <c r="P306" s="45">
        <v>29751.4</v>
      </c>
      <c r="Q306" s="47">
        <f t="shared" si="4"/>
        <v>31650.425911719998</v>
      </c>
      <c r="R306" s="4">
        <v>180</v>
      </c>
      <c r="S306" s="4">
        <v>12</v>
      </c>
    </row>
    <row r="307" spans="2:19" ht="11.25" x14ac:dyDescent="0.15">
      <c r="B307" s="3">
        <v>4218860</v>
      </c>
      <c r="C307" s="4">
        <v>296</v>
      </c>
      <c r="D307" s="6" t="s">
        <v>1127</v>
      </c>
      <c r="E307" s="7" t="s">
        <v>299</v>
      </c>
      <c r="F307" s="7"/>
      <c r="G307" s="7" t="s">
        <v>1691</v>
      </c>
      <c r="H307" s="7"/>
      <c r="I307" s="7"/>
      <c r="J307" s="7"/>
      <c r="K307" s="7"/>
      <c r="L307" s="7"/>
      <c r="M307" s="7"/>
      <c r="N307" s="7"/>
      <c r="O307" s="5" t="s">
        <v>1722</v>
      </c>
      <c r="P307" s="45">
        <v>41477.599999999999</v>
      </c>
      <c r="Q307" s="47">
        <f t="shared" si="4"/>
        <v>44125.106912479998</v>
      </c>
      <c r="R307" s="4">
        <v>180</v>
      </c>
      <c r="S307" s="4">
        <v>12</v>
      </c>
    </row>
    <row r="308" spans="2:19" ht="11.25" x14ac:dyDescent="0.15">
      <c r="B308" s="3">
        <v>4218861</v>
      </c>
      <c r="C308" s="4">
        <v>297</v>
      </c>
      <c r="D308" s="6" t="s">
        <v>1128</v>
      </c>
      <c r="E308" s="7" t="s">
        <v>300</v>
      </c>
      <c r="F308" s="7" t="s">
        <v>1691</v>
      </c>
      <c r="G308" s="7"/>
      <c r="H308" s="7"/>
      <c r="I308" s="7"/>
      <c r="J308" s="7"/>
      <c r="K308" s="7"/>
      <c r="L308" s="7"/>
      <c r="M308" s="7"/>
      <c r="N308" s="7"/>
      <c r="O308" s="5" t="s">
        <v>1723</v>
      </c>
      <c r="P308" s="45">
        <v>25328.29</v>
      </c>
      <c r="Q308" s="47">
        <f t="shared" si="4"/>
        <v>26944.989685042001</v>
      </c>
      <c r="R308" s="4">
        <v>180</v>
      </c>
      <c r="S308" s="4">
        <v>12</v>
      </c>
    </row>
    <row r="309" spans="2:19" ht="11.25" x14ac:dyDescent="0.15">
      <c r="B309" s="3">
        <v>4218862</v>
      </c>
      <c r="C309" s="4">
        <v>298</v>
      </c>
      <c r="D309" s="6" t="s">
        <v>1129</v>
      </c>
      <c r="E309" s="7" t="s">
        <v>301</v>
      </c>
      <c r="F309" s="7" t="s">
        <v>1691</v>
      </c>
      <c r="G309" s="7"/>
      <c r="H309" s="7"/>
      <c r="I309" s="7"/>
      <c r="J309" s="7"/>
      <c r="K309" s="7"/>
      <c r="L309" s="7"/>
      <c r="M309" s="7"/>
      <c r="N309" s="7"/>
      <c r="O309" s="5" t="s">
        <v>1724</v>
      </c>
      <c r="P309" s="45">
        <v>25209.51</v>
      </c>
      <c r="Q309" s="47">
        <f t="shared" si="4"/>
        <v>26818.627981397996</v>
      </c>
      <c r="R309" s="4">
        <v>180</v>
      </c>
      <c r="S309" s="4">
        <v>12</v>
      </c>
    </row>
    <row r="310" spans="2:19" ht="21" x14ac:dyDescent="0.15">
      <c r="B310" s="3">
        <v>4218863</v>
      </c>
      <c r="C310" s="4">
        <v>299</v>
      </c>
      <c r="D310" s="6" t="s">
        <v>1130</v>
      </c>
      <c r="E310" s="7" t="s">
        <v>302</v>
      </c>
      <c r="F310" s="7" t="s">
        <v>1691</v>
      </c>
      <c r="G310" s="7"/>
      <c r="H310" s="7"/>
      <c r="I310" s="7"/>
      <c r="J310" s="7"/>
      <c r="K310" s="7"/>
      <c r="L310" s="7"/>
      <c r="M310" s="7"/>
      <c r="N310" s="7"/>
      <c r="O310" s="5" t="s">
        <v>1725</v>
      </c>
      <c r="P310" s="45">
        <v>30871.51</v>
      </c>
      <c r="Q310" s="47">
        <f t="shared" si="4"/>
        <v>32842.032308997994</v>
      </c>
      <c r="R310" s="4">
        <v>180</v>
      </c>
      <c r="S310" s="4">
        <v>12</v>
      </c>
    </row>
    <row r="311" spans="2:19" ht="20.45" customHeight="1" x14ac:dyDescent="0.15">
      <c r="B311" s="3">
        <v>4218864</v>
      </c>
      <c r="C311" s="4">
        <v>300</v>
      </c>
      <c r="D311" s="6" t="s">
        <v>1131</v>
      </c>
      <c r="E311" s="7" t="s">
        <v>303</v>
      </c>
      <c r="F311" s="7" t="s">
        <v>1691</v>
      </c>
      <c r="G311" s="7"/>
      <c r="H311" s="7"/>
      <c r="I311" s="7"/>
      <c r="J311" s="7"/>
      <c r="K311" s="7"/>
      <c r="L311" s="7"/>
      <c r="M311" s="7"/>
      <c r="N311" s="7"/>
      <c r="O311" s="5" t="s">
        <v>1726</v>
      </c>
      <c r="P311" s="45">
        <v>29609.57</v>
      </c>
      <c r="Q311" s="47">
        <f t="shared" si="4"/>
        <v>31499.542931185999</v>
      </c>
      <c r="R311" s="4">
        <v>180</v>
      </c>
      <c r="S311" s="4">
        <v>12</v>
      </c>
    </row>
    <row r="312" spans="2:19" ht="21" x14ac:dyDescent="0.15">
      <c r="B312" s="3">
        <v>4218865</v>
      </c>
      <c r="C312" s="4">
        <v>301</v>
      </c>
      <c r="D312" s="6" t="s">
        <v>1132</v>
      </c>
      <c r="E312" s="7" t="s">
        <v>304</v>
      </c>
      <c r="F312" s="7" t="s">
        <v>1691</v>
      </c>
      <c r="G312" s="7"/>
      <c r="H312" s="7"/>
      <c r="I312" s="7"/>
      <c r="J312" s="7"/>
      <c r="K312" s="7"/>
      <c r="L312" s="7"/>
      <c r="M312" s="7"/>
      <c r="N312" s="7"/>
      <c r="O312" s="5" t="s">
        <v>1727</v>
      </c>
      <c r="P312" s="45">
        <v>28681.17</v>
      </c>
      <c r="Q312" s="47">
        <f t="shared" si="4"/>
        <v>30511.883344865997</v>
      </c>
      <c r="R312" s="4">
        <v>180</v>
      </c>
      <c r="S312" s="4">
        <v>12</v>
      </c>
    </row>
    <row r="313" spans="2:19" ht="11.25" x14ac:dyDescent="0.15">
      <c r="B313" s="3">
        <v>4218866</v>
      </c>
      <c r="C313" s="4">
        <v>302</v>
      </c>
      <c r="D313" s="6" t="s">
        <v>1133</v>
      </c>
      <c r="E313" s="7" t="s">
        <v>280</v>
      </c>
      <c r="F313" s="7"/>
      <c r="G313" s="7"/>
      <c r="H313" s="7"/>
      <c r="I313" s="7"/>
      <c r="J313" s="7" t="s">
        <v>1691</v>
      </c>
      <c r="K313" s="7"/>
      <c r="L313" s="7"/>
      <c r="M313" s="7"/>
      <c r="N313" s="7"/>
      <c r="O313" s="5" t="s">
        <v>1728</v>
      </c>
      <c r="P313" s="45">
        <v>35949.01</v>
      </c>
      <c r="Q313" s="47">
        <f t="shared" si="4"/>
        <v>38243.628118498003</v>
      </c>
      <c r="R313" s="4">
        <v>180</v>
      </c>
      <c r="S313" s="4">
        <v>12</v>
      </c>
    </row>
    <row r="314" spans="2:19" ht="24.95" customHeight="1" x14ac:dyDescent="0.15">
      <c r="B314" s="3">
        <v>4218867</v>
      </c>
      <c r="C314" s="4">
        <v>303</v>
      </c>
      <c r="D314" s="6" t="s">
        <v>1134</v>
      </c>
      <c r="E314" s="7" t="s">
        <v>305</v>
      </c>
      <c r="F314" s="7"/>
      <c r="G314" s="7"/>
      <c r="H314" s="7"/>
      <c r="I314" s="7"/>
      <c r="J314" s="7" t="s">
        <v>1691</v>
      </c>
      <c r="K314" s="7"/>
      <c r="L314" s="7"/>
      <c r="M314" s="7"/>
      <c r="N314" s="7"/>
      <c r="O314" s="5" t="s">
        <v>1729</v>
      </c>
      <c r="P314" s="45">
        <v>42451.69</v>
      </c>
      <c r="Q314" s="47">
        <f t="shared" si="4"/>
        <v>45161.372882361997</v>
      </c>
      <c r="R314" s="4">
        <v>180</v>
      </c>
      <c r="S314" s="4">
        <v>12</v>
      </c>
    </row>
    <row r="315" spans="2:19" ht="11.25" x14ac:dyDescent="0.15">
      <c r="B315" s="3">
        <v>4218868</v>
      </c>
      <c r="C315" s="4">
        <v>304</v>
      </c>
      <c r="D315" s="6" t="s">
        <v>1135</v>
      </c>
      <c r="E315" s="7" t="s">
        <v>306</v>
      </c>
      <c r="F315" s="7"/>
      <c r="G315" s="7"/>
      <c r="H315" s="7"/>
      <c r="I315" s="7"/>
      <c r="J315" s="7" t="s">
        <v>1691</v>
      </c>
      <c r="K315" s="7"/>
      <c r="L315" s="7"/>
      <c r="M315" s="7"/>
      <c r="N315" s="7"/>
      <c r="O315" s="5" t="s">
        <v>1730</v>
      </c>
      <c r="P315" s="45">
        <v>33215.81</v>
      </c>
      <c r="Q315" s="47">
        <f t="shared" si="4"/>
        <v>35335.968509137994</v>
      </c>
      <c r="R315" s="4">
        <v>180</v>
      </c>
      <c r="S315" s="4">
        <v>12</v>
      </c>
    </row>
    <row r="316" spans="2:19" ht="20.45" customHeight="1" x14ac:dyDescent="0.15">
      <c r="B316" s="3">
        <v>4218869</v>
      </c>
      <c r="C316" s="4">
        <v>305</v>
      </c>
      <c r="D316" s="6" t="s">
        <v>1136</v>
      </c>
      <c r="E316" s="7" t="s">
        <v>307</v>
      </c>
      <c r="F316" s="7"/>
      <c r="G316" s="7"/>
      <c r="H316" s="7"/>
      <c r="I316" s="7"/>
      <c r="J316" s="7" t="s">
        <v>1691</v>
      </c>
      <c r="K316" s="7"/>
      <c r="L316" s="7"/>
      <c r="M316" s="7"/>
      <c r="N316" s="7"/>
      <c r="O316" s="5" t="s">
        <v>1731</v>
      </c>
      <c r="P316" s="45">
        <v>34827.89</v>
      </c>
      <c r="Q316" s="47">
        <f t="shared" si="4"/>
        <v>37050.947253121994</v>
      </c>
      <c r="R316" s="4">
        <v>180</v>
      </c>
      <c r="S316" s="4">
        <v>12</v>
      </c>
    </row>
    <row r="317" spans="2:19" ht="11.25" x14ac:dyDescent="0.15">
      <c r="B317" s="3">
        <v>4218870</v>
      </c>
      <c r="C317" s="4">
        <v>306</v>
      </c>
      <c r="D317" s="6" t="s">
        <v>1137</v>
      </c>
      <c r="E317" s="7" t="s">
        <v>280</v>
      </c>
      <c r="F317" s="7"/>
      <c r="G317" s="7"/>
      <c r="H317" s="7"/>
      <c r="I317" s="7"/>
      <c r="J317" s="7"/>
      <c r="K317" s="7" t="s">
        <v>1691</v>
      </c>
      <c r="L317" s="7" t="s">
        <v>1691</v>
      </c>
      <c r="M317" s="7"/>
      <c r="N317" s="7"/>
      <c r="O317" s="5" t="s">
        <v>1728</v>
      </c>
      <c r="P317" s="45">
        <v>35949.01</v>
      </c>
      <c r="Q317" s="47">
        <f t="shared" si="4"/>
        <v>38243.628118498003</v>
      </c>
      <c r="R317" s="4">
        <v>180</v>
      </c>
      <c r="S317" s="4">
        <v>12</v>
      </c>
    </row>
    <row r="318" spans="2:19" ht="11.25" x14ac:dyDescent="0.15">
      <c r="B318" s="3">
        <v>4218871</v>
      </c>
      <c r="C318" s="4">
        <v>307</v>
      </c>
      <c r="D318" s="6" t="s">
        <v>1138</v>
      </c>
      <c r="E318" s="7" t="s">
        <v>308</v>
      </c>
      <c r="F318" s="7"/>
      <c r="G318" s="7" t="s">
        <v>1691</v>
      </c>
      <c r="H318" s="7"/>
      <c r="I318" s="7"/>
      <c r="J318" s="7"/>
      <c r="K318" s="7"/>
      <c r="L318" s="7"/>
      <c r="M318" s="7"/>
      <c r="N318" s="7"/>
      <c r="O318" s="5" t="s">
        <v>1732</v>
      </c>
      <c r="P318" s="45">
        <v>39732.199999999997</v>
      </c>
      <c r="Q318" s="47">
        <f t="shared" si="4"/>
        <v>42268.298379559994</v>
      </c>
      <c r="R318" s="4">
        <v>180</v>
      </c>
      <c r="S318" s="4">
        <v>12</v>
      </c>
    </row>
    <row r="319" spans="2:19" ht="11.25" x14ac:dyDescent="0.15">
      <c r="B319" s="3">
        <v>4218872</v>
      </c>
      <c r="C319" s="4">
        <v>308</v>
      </c>
      <c r="D319" s="6" t="s">
        <v>1139</v>
      </c>
      <c r="E319" s="7" t="s">
        <v>308</v>
      </c>
      <c r="F319" s="7"/>
      <c r="G319" s="7"/>
      <c r="H319" s="7"/>
      <c r="I319" s="7"/>
      <c r="J319" s="7"/>
      <c r="K319" s="7"/>
      <c r="L319" s="7"/>
      <c r="M319" s="7" t="s">
        <v>1691</v>
      </c>
      <c r="N319" s="7"/>
      <c r="O319" s="5" t="s">
        <v>1733</v>
      </c>
      <c r="P319" s="45">
        <v>39732.199999999997</v>
      </c>
      <c r="Q319" s="47">
        <f t="shared" si="4"/>
        <v>42268.298379559994</v>
      </c>
      <c r="R319" s="4">
        <v>180</v>
      </c>
      <c r="S319" s="4">
        <v>12</v>
      </c>
    </row>
    <row r="320" spans="2:19" ht="11.25" x14ac:dyDescent="0.15">
      <c r="B320" s="3">
        <v>4218873</v>
      </c>
      <c r="C320" s="4">
        <v>309</v>
      </c>
      <c r="D320" s="6" t="s">
        <v>1140</v>
      </c>
      <c r="E320" s="6">
        <v>200</v>
      </c>
      <c r="F320" s="6"/>
      <c r="G320" s="6" t="s">
        <v>1691</v>
      </c>
      <c r="H320" s="6"/>
      <c r="I320" s="6"/>
      <c r="J320" s="6"/>
      <c r="K320" s="6"/>
      <c r="L320" s="6"/>
      <c r="M320" s="6" t="s">
        <v>1691</v>
      </c>
      <c r="N320" s="6"/>
      <c r="O320" s="5" t="s">
        <v>1734</v>
      </c>
      <c r="P320" s="45">
        <v>121630.83</v>
      </c>
      <c r="Q320" s="47">
        <f t="shared" si="4"/>
        <v>129394.501552734</v>
      </c>
      <c r="R320" s="4">
        <v>180</v>
      </c>
      <c r="S320" s="4">
        <v>12</v>
      </c>
    </row>
    <row r="321" spans="2:19" ht="11.25" x14ac:dyDescent="0.15">
      <c r="B321" s="3">
        <v>4218874</v>
      </c>
      <c r="C321" s="4">
        <v>310</v>
      </c>
      <c r="D321" s="6" t="s">
        <v>1141</v>
      </c>
      <c r="E321" s="7" t="s">
        <v>288</v>
      </c>
      <c r="F321" s="7"/>
      <c r="G321" s="7" t="s">
        <v>1691</v>
      </c>
      <c r="H321" s="7"/>
      <c r="I321" s="7"/>
      <c r="J321" s="7"/>
      <c r="K321" s="7"/>
      <c r="L321" s="7"/>
      <c r="M321" s="7" t="s">
        <v>1691</v>
      </c>
      <c r="N321" s="7"/>
      <c r="O321" s="5" t="s">
        <v>1735</v>
      </c>
      <c r="P321" s="45">
        <v>42015.99</v>
      </c>
      <c r="Q321" s="47">
        <f t="shared" si="4"/>
        <v>44697.862238501992</v>
      </c>
      <c r="R321" s="4">
        <v>180</v>
      </c>
      <c r="S321" s="4">
        <v>12</v>
      </c>
    </row>
    <row r="322" spans="2:19" ht="11.25" x14ac:dyDescent="0.15">
      <c r="B322" s="3">
        <v>4218875</v>
      </c>
      <c r="C322" s="4">
        <v>311</v>
      </c>
      <c r="D322" s="6" t="s">
        <v>1142</v>
      </c>
      <c r="E322" s="7" t="s">
        <v>289</v>
      </c>
      <c r="F322" s="7"/>
      <c r="G322" s="7" t="s">
        <v>1691</v>
      </c>
      <c r="H322" s="7"/>
      <c r="I322" s="7"/>
      <c r="J322" s="7"/>
      <c r="K322" s="7"/>
      <c r="L322" s="7"/>
      <c r="M322" s="7" t="s">
        <v>1691</v>
      </c>
      <c r="N322" s="7"/>
      <c r="O322" s="5" t="s">
        <v>1736</v>
      </c>
      <c r="P322" s="45">
        <v>44531.6</v>
      </c>
      <c r="Q322" s="47">
        <f t="shared" si="4"/>
        <v>47374.043121679999</v>
      </c>
      <c r="R322" s="4">
        <v>180</v>
      </c>
      <c r="S322" s="4">
        <v>12</v>
      </c>
    </row>
    <row r="323" spans="2:19" ht="11.25" x14ac:dyDescent="0.15">
      <c r="B323" s="3">
        <v>4218876</v>
      </c>
      <c r="C323" s="4">
        <v>312</v>
      </c>
      <c r="D323" s="6" t="s">
        <v>1143</v>
      </c>
      <c r="E323" s="7" t="s">
        <v>309</v>
      </c>
      <c r="F323" s="7"/>
      <c r="G323" s="7" t="s">
        <v>1691</v>
      </c>
      <c r="H323" s="7"/>
      <c r="I323" s="7"/>
      <c r="J323" s="7"/>
      <c r="K323" s="7"/>
      <c r="L323" s="7"/>
      <c r="M323" s="7"/>
      <c r="N323" s="7"/>
      <c r="O323" s="5" t="s">
        <v>1737</v>
      </c>
      <c r="P323" s="45">
        <v>49414.080000000002</v>
      </c>
      <c r="Q323" s="47">
        <f t="shared" si="4"/>
        <v>52568.170843583997</v>
      </c>
      <c r="R323" s="4">
        <v>180</v>
      </c>
      <c r="S323" s="4">
        <v>12</v>
      </c>
    </row>
    <row r="324" spans="2:19" ht="20.45" customHeight="1" x14ac:dyDescent="0.15">
      <c r="B324" s="3">
        <v>4218877</v>
      </c>
      <c r="C324" s="4">
        <v>313</v>
      </c>
      <c r="D324" s="6" t="s">
        <v>1144</v>
      </c>
      <c r="E324" s="7" t="s">
        <v>310</v>
      </c>
      <c r="F324" s="7"/>
      <c r="G324" s="7" t="s">
        <v>1691</v>
      </c>
      <c r="H324" s="7"/>
      <c r="I324" s="7"/>
      <c r="J324" s="7"/>
      <c r="K324" s="7"/>
      <c r="L324" s="7"/>
      <c r="M324" s="7"/>
      <c r="N324" s="7"/>
      <c r="O324" s="5" t="s">
        <v>1738</v>
      </c>
      <c r="P324" s="45">
        <v>47199.34</v>
      </c>
      <c r="Q324" s="47">
        <f t="shared" si="4"/>
        <v>50212.064432331994</v>
      </c>
      <c r="R324" s="4">
        <v>180</v>
      </c>
      <c r="S324" s="4">
        <v>12</v>
      </c>
    </row>
    <row r="325" spans="2:19" ht="11.25" x14ac:dyDescent="0.15">
      <c r="B325" s="3">
        <v>4218878</v>
      </c>
      <c r="C325" s="4">
        <v>314</v>
      </c>
      <c r="D325" s="6" t="s">
        <v>1145</v>
      </c>
      <c r="E325" s="7" t="s">
        <v>292</v>
      </c>
      <c r="F325" s="7"/>
      <c r="G325" s="7" t="s">
        <v>1691</v>
      </c>
      <c r="H325" s="7"/>
      <c r="I325" s="7"/>
      <c r="J325" s="7"/>
      <c r="K325" s="7"/>
      <c r="L325" s="7"/>
      <c r="M325" s="7"/>
      <c r="N325" s="7"/>
      <c r="O325" s="5" t="s">
        <v>1739</v>
      </c>
      <c r="P325" s="45">
        <v>51773.85</v>
      </c>
      <c r="Q325" s="47">
        <f t="shared" si="4"/>
        <v>55078.564490729994</v>
      </c>
      <c r="R325" s="4">
        <v>180</v>
      </c>
      <c r="S325" s="4">
        <v>12</v>
      </c>
    </row>
    <row r="326" spans="2:19" ht="11.25" x14ac:dyDescent="0.15">
      <c r="B326" s="3">
        <v>4218879</v>
      </c>
      <c r="C326" s="4">
        <v>315</v>
      </c>
      <c r="D326" s="6" t="s">
        <v>1146</v>
      </c>
      <c r="E326" s="7" t="s">
        <v>290</v>
      </c>
      <c r="F326" s="7"/>
      <c r="G326" s="7" t="s">
        <v>1691</v>
      </c>
      <c r="H326" s="7"/>
      <c r="I326" s="7"/>
      <c r="J326" s="7"/>
      <c r="K326" s="7"/>
      <c r="L326" s="7"/>
      <c r="M326" s="7"/>
      <c r="N326" s="7"/>
      <c r="O326" s="5" t="s">
        <v>1740</v>
      </c>
      <c r="P326" s="45">
        <v>68542.009999999995</v>
      </c>
      <c r="Q326" s="47">
        <f t="shared" si="4"/>
        <v>72917.032789897989</v>
      </c>
      <c r="R326" s="4">
        <v>180</v>
      </c>
      <c r="S326" s="4">
        <v>12</v>
      </c>
    </row>
    <row r="327" spans="2:19" ht="11.25" x14ac:dyDescent="0.15">
      <c r="B327" s="3">
        <v>4218880</v>
      </c>
      <c r="C327" s="4">
        <v>316</v>
      </c>
      <c r="D327" s="6" t="s">
        <v>1147</v>
      </c>
      <c r="E327" s="7" t="s">
        <v>311</v>
      </c>
      <c r="F327" s="7"/>
      <c r="G327" s="7" t="s">
        <v>1691</v>
      </c>
      <c r="H327" s="7"/>
      <c r="I327" s="7"/>
      <c r="J327" s="7"/>
      <c r="K327" s="7"/>
      <c r="L327" s="7"/>
      <c r="M327" s="7"/>
      <c r="N327" s="7"/>
      <c r="O327" s="5" t="s">
        <v>1741</v>
      </c>
      <c r="P327" s="45">
        <v>48184.08</v>
      </c>
      <c r="Q327" s="47">
        <f t="shared" si="4"/>
        <v>51259.660189583999</v>
      </c>
      <c r="R327" s="4">
        <v>180</v>
      </c>
      <c r="S327" s="4">
        <v>12</v>
      </c>
    </row>
    <row r="328" spans="2:19" ht="11.25" x14ac:dyDescent="0.15">
      <c r="B328" s="3">
        <v>4218881</v>
      </c>
      <c r="C328" s="4">
        <v>317</v>
      </c>
      <c r="D328" s="6" t="s">
        <v>1148</v>
      </c>
      <c r="E328" s="7" t="s">
        <v>294</v>
      </c>
      <c r="F328" s="7"/>
      <c r="G328" s="7" t="s">
        <v>1691</v>
      </c>
      <c r="H328" s="7"/>
      <c r="I328" s="7"/>
      <c r="J328" s="7"/>
      <c r="K328" s="7"/>
      <c r="L328" s="7"/>
      <c r="M328" s="7"/>
      <c r="N328" s="7"/>
      <c r="O328" s="5" t="s">
        <v>1742</v>
      </c>
      <c r="P328" s="45">
        <v>71329.94</v>
      </c>
      <c r="Q328" s="47">
        <f t="shared" si="4"/>
        <v>75882.915804211996</v>
      </c>
      <c r="R328" s="4">
        <v>180</v>
      </c>
      <c r="S328" s="4">
        <v>12</v>
      </c>
    </row>
    <row r="329" spans="2:19" ht="11.25" x14ac:dyDescent="0.15">
      <c r="B329" s="3">
        <v>4218882</v>
      </c>
      <c r="C329" s="4">
        <v>318</v>
      </c>
      <c r="D329" s="6" t="s">
        <v>1149</v>
      </c>
      <c r="E329" s="7" t="s">
        <v>312</v>
      </c>
      <c r="F329" s="7"/>
      <c r="G329" s="7" t="s">
        <v>1691</v>
      </c>
      <c r="H329" s="7"/>
      <c r="I329" s="7"/>
      <c r="J329" s="7"/>
      <c r="K329" s="7"/>
      <c r="L329" s="7"/>
      <c r="M329" s="7" t="s">
        <v>1691</v>
      </c>
      <c r="N329" s="7"/>
      <c r="O329" s="5" t="s">
        <v>1743</v>
      </c>
      <c r="P329" s="45">
        <v>55145.21</v>
      </c>
      <c r="Q329" s="47">
        <f t="shared" si="4"/>
        <v>58665.117725257995</v>
      </c>
      <c r="R329" s="4">
        <v>180</v>
      </c>
      <c r="S329" s="4">
        <v>12</v>
      </c>
    </row>
    <row r="330" spans="2:19" ht="11.25" x14ac:dyDescent="0.15">
      <c r="B330" s="3">
        <v>4218883</v>
      </c>
      <c r="C330" s="4">
        <v>319</v>
      </c>
      <c r="D330" s="6" t="s">
        <v>1150</v>
      </c>
      <c r="E330" s="7" t="s">
        <v>313</v>
      </c>
      <c r="F330" s="7"/>
      <c r="G330" s="7" t="s">
        <v>1691</v>
      </c>
      <c r="H330" s="7"/>
      <c r="I330" s="7"/>
      <c r="J330" s="7"/>
      <c r="K330" s="7"/>
      <c r="L330" s="7"/>
      <c r="M330" s="7"/>
      <c r="N330" s="7"/>
      <c r="O330" s="5" t="s">
        <v>1744</v>
      </c>
      <c r="P330" s="45">
        <v>57459.48</v>
      </c>
      <c r="Q330" s="47">
        <f t="shared" si="4"/>
        <v>61127.107116503998</v>
      </c>
      <c r="R330" s="4">
        <v>180</v>
      </c>
      <c r="S330" s="4">
        <v>12</v>
      </c>
    </row>
    <row r="331" spans="2:19" ht="24.95" customHeight="1" x14ac:dyDescent="0.15">
      <c r="B331" s="3">
        <v>4218884</v>
      </c>
      <c r="C331" s="4">
        <v>320</v>
      </c>
      <c r="D331" s="6" t="s">
        <v>1151</v>
      </c>
      <c r="E331" s="7" t="s">
        <v>314</v>
      </c>
      <c r="F331" s="7"/>
      <c r="G331" s="7" t="s">
        <v>1691</v>
      </c>
      <c r="H331" s="7"/>
      <c r="I331" s="7"/>
      <c r="J331" s="7"/>
      <c r="K331" s="7"/>
      <c r="L331" s="7"/>
      <c r="M331" s="7"/>
      <c r="N331" s="7"/>
      <c r="O331" s="5" t="s">
        <v>1745</v>
      </c>
      <c r="P331" s="45">
        <v>61364.88</v>
      </c>
      <c r="Q331" s="47">
        <f t="shared" si="4"/>
        <v>65281.788017423991</v>
      </c>
      <c r="R331" s="4">
        <v>180</v>
      </c>
      <c r="S331" s="4">
        <v>12</v>
      </c>
    </row>
    <row r="332" spans="2:19" ht="11.25" x14ac:dyDescent="0.15">
      <c r="B332" s="3">
        <v>4218885</v>
      </c>
      <c r="C332" s="4">
        <v>321</v>
      </c>
      <c r="D332" s="6" t="s">
        <v>1152</v>
      </c>
      <c r="E332" s="7" t="s">
        <v>315</v>
      </c>
      <c r="F332" s="7"/>
      <c r="G332" s="7" t="s">
        <v>1691</v>
      </c>
      <c r="H332" s="7"/>
      <c r="I332" s="7"/>
      <c r="J332" s="7"/>
      <c r="K332" s="7"/>
      <c r="L332" s="7"/>
      <c r="M332" s="7"/>
      <c r="N332" s="7"/>
      <c r="O332" s="5" t="s">
        <v>1746</v>
      </c>
      <c r="P332" s="45">
        <v>54149.96</v>
      </c>
      <c r="Q332" s="47">
        <f t="shared" si="4"/>
        <v>57606.341116807998</v>
      </c>
      <c r="R332" s="4">
        <v>180</v>
      </c>
      <c r="S332" s="4">
        <v>12</v>
      </c>
    </row>
    <row r="333" spans="2:19" ht="11.25" x14ac:dyDescent="0.15">
      <c r="B333" s="3">
        <v>4218886</v>
      </c>
      <c r="C333" s="4">
        <v>322</v>
      </c>
      <c r="D333" s="6" t="s">
        <v>1153</v>
      </c>
      <c r="E333" s="7" t="s">
        <v>315</v>
      </c>
      <c r="F333" s="7"/>
      <c r="G333" s="7"/>
      <c r="H333" s="7"/>
      <c r="I333" s="7"/>
      <c r="J333" s="7"/>
      <c r="K333" s="7"/>
      <c r="L333" s="7"/>
      <c r="M333" s="7" t="s">
        <v>1691</v>
      </c>
      <c r="N333" s="7"/>
      <c r="O333" s="5" t="s">
        <v>1746</v>
      </c>
      <c r="P333" s="45">
        <v>54149.96</v>
      </c>
      <c r="Q333" s="47">
        <f t="shared" si="4"/>
        <v>57606.341116807998</v>
      </c>
      <c r="R333" s="4">
        <v>180</v>
      </c>
      <c r="S333" s="4">
        <v>12</v>
      </c>
    </row>
    <row r="334" spans="2:19" ht="11.25" x14ac:dyDescent="0.15">
      <c r="B334" s="3">
        <v>4218887</v>
      </c>
      <c r="C334" s="4">
        <v>323</v>
      </c>
      <c r="D334" s="6" t="s">
        <v>1154</v>
      </c>
      <c r="E334" s="7" t="s">
        <v>298</v>
      </c>
      <c r="F334" s="7"/>
      <c r="G334" s="7"/>
      <c r="H334" s="7"/>
      <c r="I334" s="7"/>
      <c r="J334" s="7"/>
      <c r="K334" s="7"/>
      <c r="L334" s="7"/>
      <c r="M334" s="7" t="s">
        <v>1691</v>
      </c>
      <c r="N334" s="7"/>
      <c r="O334" s="5" t="s">
        <v>1747</v>
      </c>
      <c r="P334" s="45">
        <v>60359.95</v>
      </c>
      <c r="Q334" s="47">
        <f t="shared" si="4"/>
        <v>64212.713536509997</v>
      </c>
      <c r="R334" s="4">
        <v>180</v>
      </c>
      <c r="S334" s="4">
        <v>12</v>
      </c>
    </row>
    <row r="335" spans="2:19" ht="11.25" x14ac:dyDescent="0.15">
      <c r="B335" s="3">
        <v>4218888</v>
      </c>
      <c r="C335" s="4">
        <v>324</v>
      </c>
      <c r="D335" s="6" t="s">
        <v>1155</v>
      </c>
      <c r="E335" s="7" t="s">
        <v>299</v>
      </c>
      <c r="F335" s="7"/>
      <c r="G335" s="7"/>
      <c r="H335" s="7"/>
      <c r="I335" s="7"/>
      <c r="J335" s="7"/>
      <c r="K335" s="7"/>
      <c r="L335" s="7"/>
      <c r="M335" s="7" t="s">
        <v>1691</v>
      </c>
      <c r="N335" s="7"/>
      <c r="O335" s="5" t="s">
        <v>1748</v>
      </c>
      <c r="P335" s="45">
        <v>75663.5</v>
      </c>
      <c r="Q335" s="47">
        <f t="shared" si="4"/>
        <v>80493.086072299993</v>
      </c>
      <c r="R335" s="4">
        <v>180</v>
      </c>
      <c r="S335" s="4">
        <v>12</v>
      </c>
    </row>
    <row r="336" spans="2:19" ht="11.25" x14ac:dyDescent="0.15">
      <c r="B336" s="3">
        <v>4218889</v>
      </c>
      <c r="C336" s="4">
        <v>325</v>
      </c>
      <c r="D336" s="6" t="s">
        <v>1156</v>
      </c>
      <c r="E336" s="7" t="s">
        <v>316</v>
      </c>
      <c r="F336" s="7"/>
      <c r="G336" s="7"/>
      <c r="H336" s="7"/>
      <c r="I336" s="7"/>
      <c r="J336" s="7"/>
      <c r="K336" s="7"/>
      <c r="L336" s="7"/>
      <c r="M336" s="7"/>
      <c r="N336" s="7" t="s">
        <v>1691</v>
      </c>
      <c r="O336" s="5" t="s">
        <v>1749</v>
      </c>
      <c r="P336" s="45">
        <v>70504.56</v>
      </c>
      <c r="Q336" s="47">
        <f t="shared" ref="Q336:Q399" si="5">P336*1.0638298</f>
        <v>75004.851963887995</v>
      </c>
      <c r="R336" s="4">
        <v>180</v>
      </c>
      <c r="S336" s="4">
        <v>12</v>
      </c>
    </row>
    <row r="337" spans="2:19" ht="11.25" x14ac:dyDescent="0.15">
      <c r="B337" s="3">
        <v>4218890</v>
      </c>
      <c r="C337" s="4">
        <v>326</v>
      </c>
      <c r="D337" s="6" t="s">
        <v>1157</v>
      </c>
      <c r="E337" s="7" t="s">
        <v>317</v>
      </c>
      <c r="F337" s="7"/>
      <c r="G337" s="7"/>
      <c r="H337" s="7"/>
      <c r="I337" s="7"/>
      <c r="J337" s="7"/>
      <c r="K337" s="7"/>
      <c r="L337" s="7"/>
      <c r="M337" s="7"/>
      <c r="N337" s="7" t="s">
        <v>1691</v>
      </c>
      <c r="O337" s="5" t="s">
        <v>1750</v>
      </c>
      <c r="P337" s="45">
        <v>64569.82</v>
      </c>
      <c r="Q337" s="47">
        <f t="shared" si="5"/>
        <v>68691.298696635989</v>
      </c>
      <c r="R337" s="4">
        <v>180</v>
      </c>
      <c r="S337" s="4">
        <v>12</v>
      </c>
    </row>
    <row r="338" spans="2:19" ht="11.25" x14ac:dyDescent="0.15">
      <c r="B338" s="3">
        <v>4218891</v>
      </c>
      <c r="C338" s="4">
        <v>327</v>
      </c>
      <c r="D338" s="6" t="s">
        <v>1158</v>
      </c>
      <c r="E338" s="7" t="s">
        <v>318</v>
      </c>
      <c r="F338" s="7"/>
      <c r="G338" s="7"/>
      <c r="H338" s="7"/>
      <c r="I338" s="7"/>
      <c r="J338" s="7"/>
      <c r="K338" s="7"/>
      <c r="L338" s="7"/>
      <c r="M338" s="7"/>
      <c r="N338" s="7" t="s">
        <v>1691</v>
      </c>
      <c r="O338" s="5" t="s">
        <v>1752</v>
      </c>
      <c r="P338" s="45">
        <v>101523.17</v>
      </c>
      <c r="Q338" s="47">
        <f t="shared" si="5"/>
        <v>108003.37363646599</v>
      </c>
      <c r="R338" s="4">
        <v>180</v>
      </c>
      <c r="S338" s="4">
        <v>12</v>
      </c>
    </row>
    <row r="339" spans="2:19" ht="24.95" customHeight="1" x14ac:dyDescent="0.15">
      <c r="B339" s="3">
        <v>4218892</v>
      </c>
      <c r="C339" s="4">
        <v>328</v>
      </c>
      <c r="D339" s="6" t="s">
        <v>1159</v>
      </c>
      <c r="E339" s="7" t="s">
        <v>319</v>
      </c>
      <c r="F339" s="7"/>
      <c r="G339" s="7"/>
      <c r="H339" s="7"/>
      <c r="I339" s="7"/>
      <c r="J339" s="7"/>
      <c r="K339" s="7"/>
      <c r="L339" s="7"/>
      <c r="M339" s="7"/>
      <c r="N339" s="7" t="s">
        <v>1691</v>
      </c>
      <c r="O339" s="5" t="s">
        <v>1751</v>
      </c>
      <c r="P339" s="45">
        <v>74291.02</v>
      </c>
      <c r="Q339" s="47">
        <f t="shared" si="5"/>
        <v>79033.000948396002</v>
      </c>
      <c r="R339" s="4">
        <v>180</v>
      </c>
      <c r="S339" s="4">
        <v>12</v>
      </c>
    </row>
    <row r="340" spans="2:19" ht="11.25" x14ac:dyDescent="0.15">
      <c r="B340" s="3">
        <v>4218893</v>
      </c>
      <c r="C340" s="4">
        <v>329</v>
      </c>
      <c r="D340" s="6" t="s">
        <v>1160</v>
      </c>
      <c r="E340" s="7" t="s">
        <v>320</v>
      </c>
      <c r="F340" s="7" t="s">
        <v>1691</v>
      </c>
      <c r="G340" s="7"/>
      <c r="H340" s="7"/>
      <c r="I340" s="7" t="s">
        <v>1691</v>
      </c>
      <c r="J340" s="7"/>
      <c r="K340" s="7"/>
      <c r="L340" s="7"/>
      <c r="M340" s="7"/>
      <c r="N340" s="7"/>
      <c r="O340" s="5" t="s">
        <v>1753</v>
      </c>
      <c r="P340" s="45">
        <v>19531.419999999998</v>
      </c>
      <c r="Q340" s="47">
        <f t="shared" si="5"/>
        <v>20778.106632315998</v>
      </c>
      <c r="R340" s="4">
        <v>180</v>
      </c>
      <c r="S340" s="4">
        <v>12</v>
      </c>
    </row>
    <row r="341" spans="2:19" ht="11.25" x14ac:dyDescent="0.15">
      <c r="B341" s="3">
        <v>4218894</v>
      </c>
      <c r="C341" s="4">
        <v>330</v>
      </c>
      <c r="D341" s="6" t="s">
        <v>1161</v>
      </c>
      <c r="E341" s="7" t="s">
        <v>321</v>
      </c>
      <c r="F341" s="7" t="s">
        <v>1691</v>
      </c>
      <c r="G341" s="7"/>
      <c r="H341" s="7"/>
      <c r="I341" s="7" t="s">
        <v>1691</v>
      </c>
      <c r="J341" s="7"/>
      <c r="K341" s="7"/>
      <c r="L341" s="7"/>
      <c r="M341" s="7"/>
      <c r="N341" s="7"/>
      <c r="O341" s="5" t="s">
        <v>1754</v>
      </c>
      <c r="P341" s="45">
        <v>17690.37</v>
      </c>
      <c r="Q341" s="47">
        <f t="shared" si="5"/>
        <v>18819.542779025996</v>
      </c>
      <c r="R341" s="4">
        <v>180</v>
      </c>
      <c r="S341" s="4">
        <v>12</v>
      </c>
    </row>
    <row r="342" spans="2:19" ht="11.25" x14ac:dyDescent="0.15">
      <c r="B342" s="3">
        <v>4218895</v>
      </c>
      <c r="C342" s="4">
        <v>331</v>
      </c>
      <c r="D342" s="6" t="s">
        <v>1162</v>
      </c>
      <c r="E342" s="7" t="s">
        <v>322</v>
      </c>
      <c r="F342" s="7" t="s">
        <v>1691</v>
      </c>
      <c r="G342" s="7"/>
      <c r="H342" s="7"/>
      <c r="I342" s="7" t="s">
        <v>1691</v>
      </c>
      <c r="J342" s="7"/>
      <c r="K342" s="7"/>
      <c r="L342" s="7"/>
      <c r="M342" s="7"/>
      <c r="N342" s="7"/>
      <c r="O342" s="5" t="s">
        <v>1755</v>
      </c>
      <c r="P342" s="45">
        <v>19853.830000000002</v>
      </c>
      <c r="Q342" s="47">
        <f t="shared" si="5"/>
        <v>21121.095998134002</v>
      </c>
      <c r="R342" s="4">
        <v>180</v>
      </c>
      <c r="S342" s="4">
        <v>12</v>
      </c>
    </row>
    <row r="343" spans="2:19" ht="11.25" x14ac:dyDescent="0.15">
      <c r="B343" s="3">
        <v>4218896</v>
      </c>
      <c r="C343" s="4">
        <v>332</v>
      </c>
      <c r="D343" s="6" t="s">
        <v>1163</v>
      </c>
      <c r="E343" s="7" t="s">
        <v>309</v>
      </c>
      <c r="F343" s="7"/>
      <c r="G343" s="7"/>
      <c r="H343" s="7"/>
      <c r="I343" s="7"/>
      <c r="J343" s="7"/>
      <c r="K343" s="7"/>
      <c r="L343" s="7"/>
      <c r="M343" s="7" t="s">
        <v>1691</v>
      </c>
      <c r="N343" s="7"/>
      <c r="O343" s="5" t="s">
        <v>1756</v>
      </c>
      <c r="P343" s="45">
        <v>49414.080000000002</v>
      </c>
      <c r="Q343" s="47">
        <f t="shared" si="5"/>
        <v>52568.170843583997</v>
      </c>
      <c r="R343" s="4">
        <v>180</v>
      </c>
      <c r="S343" s="4">
        <v>12</v>
      </c>
    </row>
    <row r="344" spans="2:19" ht="11.25" x14ac:dyDescent="0.15">
      <c r="B344" s="3">
        <v>4218897</v>
      </c>
      <c r="C344" s="4">
        <v>333</v>
      </c>
      <c r="D344" s="6" t="s">
        <v>1164</v>
      </c>
      <c r="E344" s="7" t="s">
        <v>290</v>
      </c>
      <c r="F344" s="7"/>
      <c r="G344" s="7"/>
      <c r="H344" s="7"/>
      <c r="I344" s="7"/>
      <c r="J344" s="7"/>
      <c r="K344" s="7"/>
      <c r="L344" s="7"/>
      <c r="M344" s="7" t="s">
        <v>1691</v>
      </c>
      <c r="N344" s="7"/>
      <c r="O344" s="5" t="s">
        <v>1757</v>
      </c>
      <c r="P344" s="45">
        <v>68542.009999999995</v>
      </c>
      <c r="Q344" s="47">
        <f t="shared" si="5"/>
        <v>72917.032789897989</v>
      </c>
      <c r="R344" s="4">
        <v>180</v>
      </c>
      <c r="S344" s="4">
        <v>12</v>
      </c>
    </row>
    <row r="345" spans="2:19" ht="24.95" customHeight="1" x14ac:dyDescent="0.15">
      <c r="B345" s="3">
        <v>4218898</v>
      </c>
      <c r="C345" s="4">
        <v>334</v>
      </c>
      <c r="D345" s="6" t="s">
        <v>1165</v>
      </c>
      <c r="E345" s="7" t="s">
        <v>310</v>
      </c>
      <c r="F345" s="7"/>
      <c r="G345" s="7"/>
      <c r="H345" s="7"/>
      <c r="I345" s="7"/>
      <c r="J345" s="7"/>
      <c r="K345" s="7"/>
      <c r="L345" s="7"/>
      <c r="M345" s="7" t="s">
        <v>1691</v>
      </c>
      <c r="N345" s="7"/>
      <c r="O345" s="5" t="s">
        <v>1738</v>
      </c>
      <c r="P345" s="45">
        <v>47199.34</v>
      </c>
      <c r="Q345" s="47">
        <f t="shared" si="5"/>
        <v>50212.064432331994</v>
      </c>
      <c r="R345" s="4">
        <v>180</v>
      </c>
      <c r="S345" s="4">
        <v>12</v>
      </c>
    </row>
    <row r="346" spans="2:19" ht="11.25" x14ac:dyDescent="0.15">
      <c r="B346" s="3">
        <v>4218899</v>
      </c>
      <c r="C346" s="4">
        <v>335</v>
      </c>
      <c r="D346" s="6" t="s">
        <v>1166</v>
      </c>
      <c r="E346" s="7" t="s">
        <v>292</v>
      </c>
      <c r="F346" s="7"/>
      <c r="G346" s="7"/>
      <c r="H346" s="7"/>
      <c r="I346" s="7"/>
      <c r="J346" s="7"/>
      <c r="K346" s="7"/>
      <c r="L346" s="7"/>
      <c r="M346" s="7" t="s">
        <v>1691</v>
      </c>
      <c r="N346" s="7"/>
      <c r="O346" s="5" t="s">
        <v>1739</v>
      </c>
      <c r="P346" s="45">
        <v>51773.85</v>
      </c>
      <c r="Q346" s="47">
        <f t="shared" si="5"/>
        <v>55078.564490729994</v>
      </c>
      <c r="R346" s="4">
        <v>180</v>
      </c>
      <c r="S346" s="4">
        <v>12</v>
      </c>
    </row>
    <row r="347" spans="2:19" ht="11.25" x14ac:dyDescent="0.15">
      <c r="B347" s="3">
        <v>4218900</v>
      </c>
      <c r="C347" s="4">
        <v>336</v>
      </c>
      <c r="D347" s="6" t="s">
        <v>1167</v>
      </c>
      <c r="E347" s="7" t="s">
        <v>294</v>
      </c>
      <c r="F347" s="7"/>
      <c r="G347" s="7"/>
      <c r="H347" s="7" t="s">
        <v>1691</v>
      </c>
      <c r="I347" s="7"/>
      <c r="J347" s="7"/>
      <c r="K347" s="7"/>
      <c r="L347" s="7"/>
      <c r="M347" s="7"/>
      <c r="N347" s="7"/>
      <c r="O347" s="5" t="s">
        <v>1742</v>
      </c>
      <c r="P347" s="45">
        <v>71329.94</v>
      </c>
      <c r="Q347" s="47">
        <f t="shared" si="5"/>
        <v>75882.915804211996</v>
      </c>
      <c r="R347" s="4">
        <v>180</v>
      </c>
      <c r="S347" s="4">
        <v>12</v>
      </c>
    </row>
    <row r="348" spans="2:19" ht="11.25" x14ac:dyDescent="0.15">
      <c r="B348" s="3">
        <v>4218901</v>
      </c>
      <c r="C348" s="4">
        <v>337</v>
      </c>
      <c r="D348" s="6" t="s">
        <v>1168</v>
      </c>
      <c r="E348" s="7" t="s">
        <v>311</v>
      </c>
      <c r="F348" s="7"/>
      <c r="G348" s="7"/>
      <c r="H348" s="7" t="s">
        <v>1691</v>
      </c>
      <c r="I348" s="7"/>
      <c r="J348" s="7"/>
      <c r="K348" s="7"/>
      <c r="L348" s="7"/>
      <c r="M348" s="7"/>
      <c r="N348" s="7"/>
      <c r="O348" s="5" t="s">
        <v>1758</v>
      </c>
      <c r="P348" s="45">
        <v>48184.08</v>
      </c>
      <c r="Q348" s="47">
        <f t="shared" si="5"/>
        <v>51259.660189583999</v>
      </c>
      <c r="R348" s="4">
        <v>180</v>
      </c>
      <c r="S348" s="4">
        <v>12</v>
      </c>
    </row>
    <row r="349" spans="2:19" ht="11.25" x14ac:dyDescent="0.15">
      <c r="B349" s="3">
        <v>4218902</v>
      </c>
      <c r="C349" s="4">
        <v>338</v>
      </c>
      <c r="D349" s="6" t="s">
        <v>1169</v>
      </c>
      <c r="E349" s="7" t="s">
        <v>312</v>
      </c>
      <c r="F349" s="7"/>
      <c r="G349" s="7"/>
      <c r="H349" s="7" t="s">
        <v>1691</v>
      </c>
      <c r="I349" s="7"/>
      <c r="J349" s="7"/>
      <c r="K349" s="7"/>
      <c r="L349" s="7"/>
      <c r="M349" s="7"/>
      <c r="N349" s="7" t="s">
        <v>1691</v>
      </c>
      <c r="O349" s="5" t="s">
        <v>1759</v>
      </c>
      <c r="P349" s="45">
        <v>55145.21</v>
      </c>
      <c r="Q349" s="47">
        <f t="shared" si="5"/>
        <v>58665.117725257995</v>
      </c>
      <c r="R349" s="4">
        <v>180</v>
      </c>
      <c r="S349" s="4">
        <v>12</v>
      </c>
    </row>
    <row r="350" spans="2:19" ht="11.25" x14ac:dyDescent="0.15">
      <c r="B350" s="3">
        <v>4218903</v>
      </c>
      <c r="C350" s="4">
        <v>339</v>
      </c>
      <c r="D350" s="6" t="s">
        <v>1170</v>
      </c>
      <c r="E350" s="7" t="s">
        <v>313</v>
      </c>
      <c r="F350" s="7"/>
      <c r="G350" s="7"/>
      <c r="H350" s="7" t="s">
        <v>1691</v>
      </c>
      <c r="I350" s="7"/>
      <c r="J350" s="7"/>
      <c r="K350" s="7"/>
      <c r="L350" s="7"/>
      <c r="M350" s="7"/>
      <c r="N350" s="7"/>
      <c r="O350" s="5" t="s">
        <v>1744</v>
      </c>
      <c r="P350" s="45">
        <v>57459.48</v>
      </c>
      <c r="Q350" s="47">
        <f t="shared" si="5"/>
        <v>61127.107116503998</v>
      </c>
      <c r="R350" s="4">
        <v>180</v>
      </c>
      <c r="S350" s="4">
        <v>12</v>
      </c>
    </row>
    <row r="351" spans="2:19" ht="24.95" customHeight="1" x14ac:dyDescent="0.15">
      <c r="B351" s="3">
        <v>4218904</v>
      </c>
      <c r="C351" s="4">
        <v>340</v>
      </c>
      <c r="D351" s="6" t="s">
        <v>1171</v>
      </c>
      <c r="E351" s="7" t="s">
        <v>314</v>
      </c>
      <c r="F351" s="7"/>
      <c r="G351" s="7"/>
      <c r="H351" s="7"/>
      <c r="I351" s="7"/>
      <c r="J351" s="7"/>
      <c r="K351" s="7"/>
      <c r="L351" s="7"/>
      <c r="M351" s="7"/>
      <c r="N351" s="7" t="s">
        <v>1691</v>
      </c>
      <c r="O351" s="5" t="s">
        <v>1745</v>
      </c>
      <c r="P351" s="45">
        <v>61364.88</v>
      </c>
      <c r="Q351" s="47">
        <f t="shared" si="5"/>
        <v>65281.788017423991</v>
      </c>
      <c r="R351" s="4">
        <v>180</v>
      </c>
      <c r="S351" s="4">
        <v>12</v>
      </c>
    </row>
    <row r="352" spans="2:19" ht="11.25" x14ac:dyDescent="0.15">
      <c r="B352" s="3">
        <v>4218905</v>
      </c>
      <c r="C352" s="4">
        <v>341</v>
      </c>
      <c r="D352" s="6" t="s">
        <v>1172</v>
      </c>
      <c r="E352" s="7" t="s">
        <v>311</v>
      </c>
      <c r="F352" s="7"/>
      <c r="G352" s="7"/>
      <c r="H352" s="7"/>
      <c r="I352" s="7"/>
      <c r="J352" s="7"/>
      <c r="K352" s="7"/>
      <c r="L352" s="7"/>
      <c r="M352" s="7"/>
      <c r="N352" s="7" t="s">
        <v>1691</v>
      </c>
      <c r="O352" s="5" t="s">
        <v>1741</v>
      </c>
      <c r="P352" s="45">
        <v>48184.08</v>
      </c>
      <c r="Q352" s="47">
        <f t="shared" si="5"/>
        <v>51259.660189583999</v>
      </c>
      <c r="R352" s="4">
        <v>180</v>
      </c>
      <c r="S352" s="4">
        <v>12</v>
      </c>
    </row>
    <row r="353" spans="2:19" ht="11.25" x14ac:dyDescent="0.15">
      <c r="B353" s="3">
        <v>4218906</v>
      </c>
      <c r="C353" s="4">
        <v>342</v>
      </c>
      <c r="D353" s="6" t="s">
        <v>1173</v>
      </c>
      <c r="E353" s="7" t="s">
        <v>294</v>
      </c>
      <c r="F353" s="7"/>
      <c r="G353" s="7"/>
      <c r="H353" s="7"/>
      <c r="I353" s="7"/>
      <c r="J353" s="7"/>
      <c r="K353" s="7"/>
      <c r="L353" s="7"/>
      <c r="M353" s="7"/>
      <c r="N353" s="7" t="s">
        <v>1691</v>
      </c>
      <c r="O353" s="5" t="s">
        <v>1742</v>
      </c>
      <c r="P353" s="45">
        <v>71329.94</v>
      </c>
      <c r="Q353" s="47">
        <f t="shared" si="5"/>
        <v>75882.915804211996</v>
      </c>
      <c r="R353" s="4">
        <v>180</v>
      </c>
      <c r="S353" s="4">
        <v>12</v>
      </c>
    </row>
    <row r="354" spans="2:19" ht="11.25" x14ac:dyDescent="0.15">
      <c r="B354" s="3">
        <v>4218907</v>
      </c>
      <c r="C354" s="4">
        <v>343</v>
      </c>
      <c r="D354" s="6" t="s">
        <v>1174</v>
      </c>
      <c r="E354" s="7" t="s">
        <v>313</v>
      </c>
      <c r="F354" s="7"/>
      <c r="G354" s="7"/>
      <c r="H354" s="7"/>
      <c r="I354" s="7"/>
      <c r="J354" s="7"/>
      <c r="K354" s="7"/>
      <c r="L354" s="7"/>
      <c r="M354" s="7"/>
      <c r="N354" s="7" t="s">
        <v>1691</v>
      </c>
      <c r="O354" s="5" t="s">
        <v>1744</v>
      </c>
      <c r="P354" s="45">
        <v>57459.48</v>
      </c>
      <c r="Q354" s="47">
        <f t="shared" si="5"/>
        <v>61127.107116503998</v>
      </c>
      <c r="R354" s="4">
        <v>180</v>
      </c>
      <c r="S354" s="4">
        <v>12</v>
      </c>
    </row>
    <row r="355" spans="2:19" ht="24.95" customHeight="1" x14ac:dyDescent="0.15">
      <c r="B355" s="3">
        <v>4218908</v>
      </c>
      <c r="C355" s="4">
        <v>344</v>
      </c>
      <c r="D355" s="6" t="s">
        <v>1175</v>
      </c>
      <c r="E355" s="7" t="s">
        <v>314</v>
      </c>
      <c r="F355" s="7"/>
      <c r="G355" s="7"/>
      <c r="H355" s="7" t="s">
        <v>1691</v>
      </c>
      <c r="I355" s="7"/>
      <c r="J355" s="7"/>
      <c r="K355" s="7"/>
      <c r="L355" s="7"/>
      <c r="M355" s="7"/>
      <c r="N355" s="7"/>
      <c r="O355" s="5" t="s">
        <v>1745</v>
      </c>
      <c r="P355" s="45">
        <v>61364.88</v>
      </c>
      <c r="Q355" s="47">
        <f t="shared" si="5"/>
        <v>65281.788017423991</v>
      </c>
      <c r="R355" s="4">
        <v>180</v>
      </c>
      <c r="S355" s="4">
        <v>12</v>
      </c>
    </row>
    <row r="356" spans="2:19" ht="11.25" x14ac:dyDescent="0.15">
      <c r="B356" s="3">
        <v>4218909</v>
      </c>
      <c r="C356" s="4">
        <v>345</v>
      </c>
      <c r="D356" s="6" t="s">
        <v>1176</v>
      </c>
      <c r="E356" s="7" t="s">
        <v>298</v>
      </c>
      <c r="F356" s="7"/>
      <c r="G356" s="7"/>
      <c r="H356" s="7" t="s">
        <v>1691</v>
      </c>
      <c r="I356" s="7"/>
      <c r="J356" s="7"/>
      <c r="K356" s="7"/>
      <c r="L356" s="7"/>
      <c r="M356" s="7"/>
      <c r="N356" s="7" t="s">
        <v>1691</v>
      </c>
      <c r="O356" s="5" t="s">
        <v>1747</v>
      </c>
      <c r="P356" s="45">
        <v>60359.95</v>
      </c>
      <c r="Q356" s="47">
        <f t="shared" si="5"/>
        <v>64212.713536509997</v>
      </c>
      <c r="R356" s="4">
        <v>180</v>
      </c>
      <c r="S356" s="4">
        <v>12</v>
      </c>
    </row>
    <row r="357" spans="2:19" ht="11.25" x14ac:dyDescent="0.15">
      <c r="B357" s="3">
        <v>4218910</v>
      </c>
      <c r="C357" s="4">
        <v>346</v>
      </c>
      <c r="D357" s="6" t="s">
        <v>1177</v>
      </c>
      <c r="E357" s="7" t="s">
        <v>299</v>
      </c>
      <c r="F357" s="7"/>
      <c r="G357" s="7"/>
      <c r="H357" s="7" t="s">
        <v>1691</v>
      </c>
      <c r="I357" s="7"/>
      <c r="J357" s="7"/>
      <c r="K357" s="7"/>
      <c r="L357" s="7"/>
      <c r="M357" s="7"/>
      <c r="N357" s="7" t="s">
        <v>1691</v>
      </c>
      <c r="O357" s="5" t="s">
        <v>1748</v>
      </c>
      <c r="P357" s="45">
        <v>75663.5</v>
      </c>
      <c r="Q357" s="47">
        <f t="shared" si="5"/>
        <v>80493.086072299993</v>
      </c>
      <c r="R357" s="4">
        <v>180</v>
      </c>
      <c r="S357" s="4">
        <v>12</v>
      </c>
    </row>
    <row r="358" spans="2:19" ht="11.25" x14ac:dyDescent="0.15">
      <c r="B358" s="3">
        <v>4218911</v>
      </c>
      <c r="C358" s="4">
        <v>347</v>
      </c>
      <c r="D358" s="6" t="s">
        <v>1178</v>
      </c>
      <c r="E358" s="7" t="s">
        <v>316</v>
      </c>
      <c r="F358" s="7"/>
      <c r="G358" s="7"/>
      <c r="H358" s="7" t="s">
        <v>1691</v>
      </c>
      <c r="I358" s="7"/>
      <c r="J358" s="7"/>
      <c r="K358" s="7"/>
      <c r="L358" s="7"/>
      <c r="M358" s="7"/>
      <c r="N358" s="7"/>
      <c r="O358" s="5" t="s">
        <v>1760</v>
      </c>
      <c r="P358" s="45">
        <v>70504.56</v>
      </c>
      <c r="Q358" s="47">
        <f t="shared" si="5"/>
        <v>75004.851963887995</v>
      </c>
      <c r="R358" s="4">
        <v>180</v>
      </c>
      <c r="S358" s="4">
        <v>12</v>
      </c>
    </row>
    <row r="359" spans="2:19" ht="11.25" x14ac:dyDescent="0.15">
      <c r="B359" s="3">
        <v>4218912</v>
      </c>
      <c r="C359" s="4">
        <v>348</v>
      </c>
      <c r="D359" s="6" t="s">
        <v>1179</v>
      </c>
      <c r="E359" s="7" t="s">
        <v>317</v>
      </c>
      <c r="F359" s="7"/>
      <c r="G359" s="7"/>
      <c r="H359" s="7" t="s">
        <v>1691</v>
      </c>
      <c r="I359" s="7"/>
      <c r="J359" s="7"/>
      <c r="K359" s="7"/>
      <c r="L359" s="7"/>
      <c r="M359" s="7"/>
      <c r="N359" s="7"/>
      <c r="O359" s="5" t="s">
        <v>1761</v>
      </c>
      <c r="P359" s="45">
        <v>64569.82</v>
      </c>
      <c r="Q359" s="47">
        <f t="shared" si="5"/>
        <v>68691.298696635989</v>
      </c>
      <c r="R359" s="4">
        <v>180</v>
      </c>
      <c r="S359" s="4">
        <v>12</v>
      </c>
    </row>
    <row r="360" spans="2:19" ht="11.25" x14ac:dyDescent="0.15">
      <c r="B360" s="3">
        <v>4218913</v>
      </c>
      <c r="C360" s="4">
        <v>349</v>
      </c>
      <c r="D360" s="6" t="s">
        <v>1180</v>
      </c>
      <c r="E360" s="7" t="s">
        <v>311</v>
      </c>
      <c r="F360" s="7"/>
      <c r="G360" s="7"/>
      <c r="H360" s="7"/>
      <c r="I360" s="7"/>
      <c r="J360" s="7"/>
      <c r="K360" s="7"/>
      <c r="L360" s="7"/>
      <c r="M360" s="7" t="s">
        <v>1691</v>
      </c>
      <c r="N360" s="7"/>
      <c r="O360" s="5" t="s">
        <v>1758</v>
      </c>
      <c r="P360" s="45">
        <v>48184.08</v>
      </c>
      <c r="Q360" s="47">
        <f t="shared" si="5"/>
        <v>51259.660189583999</v>
      </c>
      <c r="R360" s="4">
        <v>180</v>
      </c>
      <c r="S360" s="4">
        <v>12</v>
      </c>
    </row>
    <row r="361" spans="2:19" ht="11.25" x14ac:dyDescent="0.15">
      <c r="B361" s="3">
        <v>4218914</v>
      </c>
      <c r="C361" s="4">
        <v>350</v>
      </c>
      <c r="D361" s="6" t="s">
        <v>1181</v>
      </c>
      <c r="E361" s="7" t="s">
        <v>294</v>
      </c>
      <c r="F361" s="7"/>
      <c r="G361" s="7"/>
      <c r="H361" s="7"/>
      <c r="I361" s="7"/>
      <c r="J361" s="7"/>
      <c r="K361" s="7"/>
      <c r="L361" s="7"/>
      <c r="M361" s="7" t="s">
        <v>1691</v>
      </c>
      <c r="N361" s="7"/>
      <c r="O361" s="5" t="s">
        <v>1742</v>
      </c>
      <c r="P361" s="45">
        <v>71329.94</v>
      </c>
      <c r="Q361" s="47">
        <f t="shared" si="5"/>
        <v>75882.915804211996</v>
      </c>
      <c r="R361" s="4">
        <v>180</v>
      </c>
      <c r="S361" s="4">
        <v>12</v>
      </c>
    </row>
    <row r="362" spans="2:19" ht="11.25" x14ac:dyDescent="0.15">
      <c r="B362" s="3">
        <v>4218915</v>
      </c>
      <c r="C362" s="4">
        <v>351</v>
      </c>
      <c r="D362" s="6" t="s">
        <v>1182</v>
      </c>
      <c r="E362" s="7" t="s">
        <v>313</v>
      </c>
      <c r="F362" s="7"/>
      <c r="G362" s="7"/>
      <c r="H362" s="7"/>
      <c r="I362" s="7"/>
      <c r="J362" s="7"/>
      <c r="K362" s="7"/>
      <c r="L362" s="7"/>
      <c r="M362" s="7" t="s">
        <v>1691</v>
      </c>
      <c r="N362" s="7"/>
      <c r="O362" s="5" t="s">
        <v>1744</v>
      </c>
      <c r="P362" s="45">
        <v>57459.48</v>
      </c>
      <c r="Q362" s="47">
        <f t="shared" si="5"/>
        <v>61127.107116503998</v>
      </c>
      <c r="R362" s="4">
        <v>180</v>
      </c>
      <c r="S362" s="4">
        <v>12</v>
      </c>
    </row>
    <row r="363" spans="2:19" ht="24.95" customHeight="1" x14ac:dyDescent="0.15">
      <c r="B363" s="3">
        <v>4218916</v>
      </c>
      <c r="C363" s="4">
        <v>352</v>
      </c>
      <c r="D363" s="6" t="s">
        <v>1183</v>
      </c>
      <c r="E363" s="7" t="s">
        <v>314</v>
      </c>
      <c r="F363" s="7"/>
      <c r="G363" s="7"/>
      <c r="H363" s="7"/>
      <c r="I363" s="7"/>
      <c r="J363" s="7"/>
      <c r="K363" s="7"/>
      <c r="L363" s="7"/>
      <c r="M363" s="7" t="s">
        <v>1691</v>
      </c>
      <c r="N363" s="7"/>
      <c r="O363" s="5" t="s">
        <v>1745</v>
      </c>
      <c r="P363" s="45">
        <v>61364.88</v>
      </c>
      <c r="Q363" s="47">
        <f t="shared" si="5"/>
        <v>65281.788017423991</v>
      </c>
      <c r="R363" s="4">
        <v>180</v>
      </c>
      <c r="S363" s="4">
        <v>12</v>
      </c>
    </row>
    <row r="364" spans="2:19" ht="11.25" x14ac:dyDescent="0.15">
      <c r="B364" s="3">
        <v>4218917</v>
      </c>
      <c r="C364" s="4">
        <v>353</v>
      </c>
      <c r="D364" s="6" t="s">
        <v>1184</v>
      </c>
      <c r="E364" s="7" t="s">
        <v>318</v>
      </c>
      <c r="F364" s="7"/>
      <c r="G364" s="7"/>
      <c r="H364" s="7" t="s">
        <v>1691</v>
      </c>
      <c r="I364" s="7"/>
      <c r="J364" s="7"/>
      <c r="K364" s="7"/>
      <c r="L364" s="7"/>
      <c r="M364" s="7"/>
      <c r="N364" s="7"/>
      <c r="O364" s="5" t="s">
        <v>1752</v>
      </c>
      <c r="P364" s="45">
        <v>101523.17</v>
      </c>
      <c r="Q364" s="47">
        <f t="shared" si="5"/>
        <v>108003.37363646599</v>
      </c>
      <c r="R364" s="4">
        <v>180</v>
      </c>
      <c r="S364" s="4">
        <v>12</v>
      </c>
    </row>
    <row r="365" spans="2:19" ht="24.95" customHeight="1" x14ac:dyDescent="0.15">
      <c r="B365" s="3">
        <v>4218918</v>
      </c>
      <c r="C365" s="4">
        <v>354</v>
      </c>
      <c r="D365" s="6" t="s">
        <v>1185</v>
      </c>
      <c r="E365" s="7" t="s">
        <v>319</v>
      </c>
      <c r="F365" s="7"/>
      <c r="G365" s="7"/>
      <c r="H365" s="7" t="s">
        <v>1691</v>
      </c>
      <c r="I365" s="7"/>
      <c r="J365" s="7"/>
      <c r="K365" s="7"/>
      <c r="L365" s="7"/>
      <c r="M365" s="7"/>
      <c r="N365" s="7"/>
      <c r="O365" s="5" t="s">
        <v>1751</v>
      </c>
      <c r="P365" s="45">
        <v>74291.02</v>
      </c>
      <c r="Q365" s="47">
        <f t="shared" si="5"/>
        <v>79033.000948396002</v>
      </c>
      <c r="R365" s="4">
        <v>180</v>
      </c>
      <c r="S365" s="4">
        <v>12</v>
      </c>
    </row>
    <row r="366" spans="2:19" ht="11.25" x14ac:dyDescent="0.15">
      <c r="B366" s="3">
        <v>4218919</v>
      </c>
      <c r="C366" s="4">
        <v>355</v>
      </c>
      <c r="D366" s="6" t="s">
        <v>1186</v>
      </c>
      <c r="E366" s="7" t="s">
        <v>280</v>
      </c>
      <c r="F366" s="7" t="s">
        <v>1691</v>
      </c>
      <c r="G366" s="7"/>
      <c r="H366" s="7"/>
      <c r="I366" s="7"/>
      <c r="J366" s="7"/>
      <c r="K366" s="7"/>
      <c r="L366" s="7"/>
      <c r="M366" s="7"/>
      <c r="N366" s="7"/>
      <c r="O366" s="5" t="s">
        <v>1702</v>
      </c>
      <c r="P366" s="45">
        <v>18321.89</v>
      </c>
      <c r="Q366" s="47">
        <f t="shared" si="5"/>
        <v>19491.372574321998</v>
      </c>
      <c r="R366" s="4">
        <v>180</v>
      </c>
      <c r="S366" s="4">
        <v>12</v>
      </c>
    </row>
    <row r="367" spans="2:19" ht="11.25" x14ac:dyDescent="0.15">
      <c r="B367" s="3">
        <v>4218920</v>
      </c>
      <c r="C367" s="4">
        <v>356</v>
      </c>
      <c r="D367" s="6" t="s">
        <v>1187</v>
      </c>
      <c r="E367" s="7" t="s">
        <v>323</v>
      </c>
      <c r="G367" s="7"/>
      <c r="H367" s="7"/>
      <c r="I367" s="7" t="s">
        <v>1691</v>
      </c>
      <c r="J367" s="7"/>
      <c r="K367" s="7"/>
      <c r="L367" s="7"/>
      <c r="M367" s="7"/>
      <c r="N367" s="7"/>
      <c r="O367" s="5" t="s">
        <v>1764</v>
      </c>
      <c r="P367" s="45">
        <v>18570.669999999998</v>
      </c>
      <c r="Q367" s="47">
        <f t="shared" si="5"/>
        <v>19756.032151965996</v>
      </c>
      <c r="R367" s="4">
        <v>180</v>
      </c>
      <c r="S367" s="4">
        <v>12</v>
      </c>
    </row>
    <row r="368" spans="2:19" ht="11.25" x14ac:dyDescent="0.15">
      <c r="B368" s="3">
        <v>4218921</v>
      </c>
      <c r="C368" s="4">
        <v>357</v>
      </c>
      <c r="D368" s="6" t="s">
        <v>1188</v>
      </c>
      <c r="E368" s="7" t="s">
        <v>281</v>
      </c>
      <c r="F368" s="7" t="s">
        <v>1691</v>
      </c>
      <c r="G368" s="7"/>
      <c r="H368" s="7"/>
      <c r="I368" s="7"/>
      <c r="J368" s="7"/>
      <c r="K368" s="7"/>
      <c r="L368" s="7"/>
      <c r="M368" s="7"/>
      <c r="N368" s="7"/>
      <c r="O368" s="5" t="s">
        <v>1703</v>
      </c>
      <c r="P368" s="45">
        <v>20930.29</v>
      </c>
      <c r="Q368" s="47">
        <f t="shared" si="5"/>
        <v>22266.266224642</v>
      </c>
      <c r="R368" s="4">
        <v>180</v>
      </c>
      <c r="S368" s="4">
        <v>12</v>
      </c>
    </row>
    <row r="369" spans="2:19" ht="11.25" x14ac:dyDescent="0.15">
      <c r="B369" s="3">
        <v>4218922</v>
      </c>
      <c r="C369" s="4">
        <v>358</v>
      </c>
      <c r="D369" s="6" t="s">
        <v>1189</v>
      </c>
      <c r="E369" s="7" t="s">
        <v>282</v>
      </c>
      <c r="F369" s="7" t="s">
        <v>1691</v>
      </c>
      <c r="G369" s="7"/>
      <c r="H369" s="7"/>
      <c r="I369" s="7"/>
      <c r="J369" s="7"/>
      <c r="K369" s="7"/>
      <c r="L369" s="7"/>
      <c r="M369" s="7"/>
      <c r="N369" s="7"/>
      <c r="O369" s="5" t="s">
        <v>1765</v>
      </c>
      <c r="P369" s="45">
        <v>16450.080000000002</v>
      </c>
      <c r="Q369" s="47">
        <f t="shared" si="5"/>
        <v>17500.085316384</v>
      </c>
      <c r="R369" s="4">
        <v>180</v>
      </c>
      <c r="S369" s="4">
        <v>12</v>
      </c>
    </row>
    <row r="370" spans="2:19" ht="11.25" x14ac:dyDescent="0.15">
      <c r="B370" s="3">
        <v>4218923</v>
      </c>
      <c r="C370" s="4">
        <v>359</v>
      </c>
      <c r="D370" s="6" t="s">
        <v>1190</v>
      </c>
      <c r="E370" s="7" t="s">
        <v>283</v>
      </c>
      <c r="F370" s="7" t="s">
        <v>1691</v>
      </c>
      <c r="G370" s="7"/>
      <c r="H370" s="7"/>
      <c r="I370" s="7"/>
      <c r="J370" s="7"/>
      <c r="K370" s="7"/>
      <c r="L370" s="7"/>
      <c r="M370" s="7"/>
      <c r="N370" s="7"/>
      <c r="O370" s="5" t="s">
        <v>1766</v>
      </c>
      <c r="P370" s="45">
        <v>17256.12</v>
      </c>
      <c r="Q370" s="47">
        <f t="shared" si="5"/>
        <v>18357.574688375997</v>
      </c>
      <c r="R370" s="4">
        <v>180</v>
      </c>
      <c r="S370" s="4">
        <v>12</v>
      </c>
    </row>
    <row r="371" spans="2:19" ht="11.25" x14ac:dyDescent="0.15">
      <c r="B371" s="3">
        <v>4218924</v>
      </c>
      <c r="C371" s="4">
        <v>360</v>
      </c>
      <c r="D371" s="6" t="s">
        <v>1191</v>
      </c>
      <c r="E371" s="7" t="s">
        <v>311</v>
      </c>
      <c r="F371" s="7"/>
      <c r="G371" s="7"/>
      <c r="H371" s="7"/>
      <c r="I371" s="7"/>
      <c r="J371" s="7" t="s">
        <v>1691</v>
      </c>
      <c r="K371" s="7" t="s">
        <v>1691</v>
      </c>
      <c r="L371" s="7" t="s">
        <v>1691</v>
      </c>
      <c r="M371" s="7"/>
      <c r="N371" s="7"/>
      <c r="O371" s="5" t="s">
        <v>1767</v>
      </c>
      <c r="P371" s="45">
        <v>24818.36</v>
      </c>
      <c r="Q371" s="47">
        <f t="shared" si="5"/>
        <v>26402.510955128</v>
      </c>
      <c r="R371" s="4">
        <v>180</v>
      </c>
      <c r="S371" s="4">
        <v>12</v>
      </c>
    </row>
    <row r="372" spans="2:19" ht="11.25" x14ac:dyDescent="0.15">
      <c r="B372" s="3">
        <v>4218925</v>
      </c>
      <c r="C372" s="4">
        <v>361</v>
      </c>
      <c r="D372" s="6" t="s">
        <v>1192</v>
      </c>
      <c r="E372" s="7" t="s">
        <v>295</v>
      </c>
      <c r="F372" s="7"/>
      <c r="G372" s="7"/>
      <c r="H372" s="7"/>
      <c r="I372" s="7"/>
      <c r="J372" s="7"/>
      <c r="K372" s="7" t="s">
        <v>1691</v>
      </c>
      <c r="L372" s="7" t="s">
        <v>1691</v>
      </c>
      <c r="M372" s="7"/>
      <c r="N372" s="7"/>
      <c r="O372" s="5" t="s">
        <v>1718</v>
      </c>
      <c r="P372" s="45">
        <v>28298.92</v>
      </c>
      <c r="Q372" s="47">
        <f t="shared" si="5"/>
        <v>30105.234403815997</v>
      </c>
      <c r="R372" s="4">
        <v>180</v>
      </c>
      <c r="S372" s="4">
        <v>12</v>
      </c>
    </row>
    <row r="373" spans="2:19" ht="11.25" x14ac:dyDescent="0.15">
      <c r="B373" s="3">
        <v>4218926</v>
      </c>
      <c r="C373" s="4">
        <v>362</v>
      </c>
      <c r="D373" s="6" t="s">
        <v>1193</v>
      </c>
      <c r="E373" s="7" t="s">
        <v>294</v>
      </c>
      <c r="F373" s="7"/>
      <c r="G373" s="7"/>
      <c r="H373" s="7"/>
      <c r="I373" s="7"/>
      <c r="J373" s="7"/>
      <c r="K373" s="7" t="s">
        <v>1691</v>
      </c>
      <c r="L373" s="7" t="s">
        <v>1691</v>
      </c>
      <c r="M373" s="7"/>
      <c r="N373" s="7"/>
      <c r="O373" s="5" t="s">
        <v>1717</v>
      </c>
      <c r="P373" s="45">
        <v>35721.79</v>
      </c>
      <c r="Q373" s="47">
        <f t="shared" si="5"/>
        <v>38001.904711342002</v>
      </c>
      <c r="R373" s="4">
        <v>180</v>
      </c>
      <c r="S373" s="4">
        <v>12</v>
      </c>
    </row>
    <row r="374" spans="2:19" ht="11.25" x14ac:dyDescent="0.15">
      <c r="B374" s="3">
        <v>4218927</v>
      </c>
      <c r="C374" s="4">
        <v>363</v>
      </c>
      <c r="D374" s="6" t="s">
        <v>1194</v>
      </c>
      <c r="E374" s="7" t="s">
        <v>296</v>
      </c>
      <c r="F374" s="7"/>
      <c r="G374" s="7"/>
      <c r="H374" s="7"/>
      <c r="I374" s="7"/>
      <c r="J374" s="7"/>
      <c r="K374" s="7" t="s">
        <v>1691</v>
      </c>
      <c r="L374" s="7" t="s">
        <v>1691</v>
      </c>
      <c r="M374" s="7"/>
      <c r="N374" s="7"/>
      <c r="O374" s="5" t="s">
        <v>1719</v>
      </c>
      <c r="P374" s="45">
        <v>29603.48</v>
      </c>
      <c r="Q374" s="47">
        <f t="shared" si="5"/>
        <v>31493.064207703999</v>
      </c>
      <c r="R374" s="4">
        <v>180</v>
      </c>
      <c r="S374" s="4">
        <v>12</v>
      </c>
    </row>
    <row r="375" spans="2:19" ht="11.25" x14ac:dyDescent="0.15">
      <c r="B375" s="3">
        <v>4218928</v>
      </c>
      <c r="C375" s="4">
        <v>364</v>
      </c>
      <c r="D375" s="6" t="s">
        <v>1195</v>
      </c>
      <c r="E375" s="7" t="s">
        <v>297</v>
      </c>
      <c r="F375" s="7"/>
      <c r="G375" s="7"/>
      <c r="H375" s="7"/>
      <c r="I375" s="7"/>
      <c r="J375" s="7"/>
      <c r="K375" s="7" t="s">
        <v>1691</v>
      </c>
      <c r="L375" s="7" t="s">
        <v>1691</v>
      </c>
      <c r="M375" s="7"/>
      <c r="N375" s="7"/>
      <c r="O375" s="5" t="s">
        <v>1720</v>
      </c>
      <c r="P375" s="45">
        <v>28950.84</v>
      </c>
      <c r="Q375" s="47">
        <f t="shared" si="5"/>
        <v>30798.766327031997</v>
      </c>
      <c r="R375" s="4">
        <v>180</v>
      </c>
      <c r="S375" s="4">
        <v>12</v>
      </c>
    </row>
    <row r="376" spans="2:19" ht="11.25" x14ac:dyDescent="0.15">
      <c r="B376" s="3">
        <v>4218929</v>
      </c>
      <c r="C376" s="4">
        <v>365</v>
      </c>
      <c r="D376" s="6" t="s">
        <v>1196</v>
      </c>
      <c r="E376" s="7" t="s">
        <v>291</v>
      </c>
      <c r="F376" s="7"/>
      <c r="G376" s="7"/>
      <c r="H376" s="7"/>
      <c r="I376" s="7"/>
      <c r="J376" s="7"/>
      <c r="K376" s="7" t="s">
        <v>1691</v>
      </c>
      <c r="L376" s="7"/>
      <c r="M376" s="7"/>
      <c r="N376" s="7"/>
      <c r="O376" s="5" t="s">
        <v>1714</v>
      </c>
      <c r="P376" s="45">
        <v>23820.77</v>
      </c>
      <c r="Q376" s="47">
        <f t="shared" si="5"/>
        <v>25341.244984945999</v>
      </c>
      <c r="R376" s="4">
        <v>180</v>
      </c>
      <c r="S376" s="4">
        <v>12</v>
      </c>
    </row>
    <row r="377" spans="2:19" ht="11.25" x14ac:dyDescent="0.15">
      <c r="B377" s="3">
        <v>4218930</v>
      </c>
      <c r="C377" s="4">
        <v>366</v>
      </c>
      <c r="D377" s="6" t="s">
        <v>1197</v>
      </c>
      <c r="E377" s="7" t="s">
        <v>292</v>
      </c>
      <c r="F377" s="7"/>
      <c r="G377" s="7"/>
      <c r="H377" s="7"/>
      <c r="I377" s="7"/>
      <c r="J377" s="7"/>
      <c r="K377" s="7" t="s">
        <v>1691</v>
      </c>
      <c r="L377" s="7"/>
      <c r="M377" s="7"/>
      <c r="N377" s="7"/>
      <c r="O377" s="5" t="s">
        <v>1715</v>
      </c>
      <c r="P377" s="45">
        <v>26108.03</v>
      </c>
      <c r="Q377" s="47">
        <f t="shared" si="5"/>
        <v>27774.500333293996</v>
      </c>
      <c r="R377" s="4">
        <v>180</v>
      </c>
      <c r="S377" s="4">
        <v>12</v>
      </c>
    </row>
    <row r="378" spans="2:19" ht="24.95" customHeight="1" x14ac:dyDescent="0.15">
      <c r="B378" s="3">
        <v>4218931</v>
      </c>
      <c r="C378" s="4">
        <v>367</v>
      </c>
      <c r="D378" s="6" t="s">
        <v>1198</v>
      </c>
      <c r="E378" s="7" t="s">
        <v>305</v>
      </c>
      <c r="F378" s="7"/>
      <c r="G378" s="7"/>
      <c r="H378" s="7"/>
      <c r="I378" s="7"/>
      <c r="J378" s="7"/>
      <c r="K378" s="7" t="s">
        <v>1691</v>
      </c>
      <c r="L378" s="7" t="s">
        <v>1691</v>
      </c>
      <c r="M378" s="7"/>
      <c r="N378" s="7"/>
      <c r="O378" s="5" t="s">
        <v>1729</v>
      </c>
      <c r="P378" s="45">
        <v>42451.69</v>
      </c>
      <c r="Q378" s="47">
        <f t="shared" si="5"/>
        <v>45161.372882361997</v>
      </c>
      <c r="R378" s="4">
        <v>180</v>
      </c>
      <c r="S378" s="4">
        <v>12</v>
      </c>
    </row>
    <row r="379" spans="2:19" ht="11.25" x14ac:dyDescent="0.15">
      <c r="B379" s="3">
        <v>4218932</v>
      </c>
      <c r="C379" s="4">
        <v>368</v>
      </c>
      <c r="D379" s="6" t="s">
        <v>1199</v>
      </c>
      <c r="E379" s="7" t="s">
        <v>306</v>
      </c>
      <c r="F379" s="7"/>
      <c r="G379" s="7"/>
      <c r="H379" s="7"/>
      <c r="I379" s="7"/>
      <c r="J379" s="7"/>
      <c r="K379" s="7" t="s">
        <v>1691</v>
      </c>
      <c r="L379" s="7"/>
      <c r="M379" s="7"/>
      <c r="N379" s="7"/>
      <c r="O379" s="5" t="s">
        <v>1730</v>
      </c>
      <c r="P379" s="45">
        <v>33215.81</v>
      </c>
      <c r="Q379" s="47">
        <f t="shared" si="5"/>
        <v>35335.968509137994</v>
      </c>
      <c r="R379" s="4">
        <v>180</v>
      </c>
      <c r="S379" s="4">
        <v>12</v>
      </c>
    </row>
    <row r="380" spans="2:19" ht="21.6" customHeight="1" x14ac:dyDescent="0.15">
      <c r="B380" s="3">
        <v>4218933</v>
      </c>
      <c r="C380" s="4">
        <v>369</v>
      </c>
      <c r="D380" s="6" t="s">
        <v>1200</v>
      </c>
      <c r="E380" s="7" t="s">
        <v>307</v>
      </c>
      <c r="F380" s="7"/>
      <c r="G380" s="7"/>
      <c r="H380" s="7"/>
      <c r="I380" s="7"/>
      <c r="J380" s="7"/>
      <c r="K380" s="7" t="s">
        <v>1691</v>
      </c>
      <c r="L380" s="7"/>
      <c r="M380" s="7"/>
      <c r="N380" s="7"/>
      <c r="O380" s="5" t="s">
        <v>1731</v>
      </c>
      <c r="P380" s="45">
        <v>34827.89</v>
      </c>
      <c r="Q380" s="47">
        <f t="shared" si="5"/>
        <v>37050.947253121994</v>
      </c>
      <c r="R380" s="4">
        <v>180</v>
      </c>
      <c r="S380" s="4">
        <v>12</v>
      </c>
    </row>
    <row r="381" spans="2:19" ht="11.25" x14ac:dyDescent="0.15">
      <c r="B381" s="3">
        <v>4218934</v>
      </c>
      <c r="C381" s="4">
        <v>370</v>
      </c>
      <c r="D381" s="6" t="s">
        <v>1201</v>
      </c>
      <c r="E381" s="7" t="s">
        <v>291</v>
      </c>
      <c r="F381" s="7"/>
      <c r="G381" s="7"/>
      <c r="H381" s="7"/>
      <c r="I381" s="7"/>
      <c r="J381" s="7"/>
      <c r="K381" s="7"/>
      <c r="L381" s="7" t="s">
        <v>1691</v>
      </c>
      <c r="M381" s="7"/>
      <c r="N381" s="7"/>
      <c r="O381" s="5" t="s">
        <v>1714</v>
      </c>
      <c r="P381" s="45">
        <v>23820.77</v>
      </c>
      <c r="Q381" s="47">
        <f t="shared" si="5"/>
        <v>25341.244984945999</v>
      </c>
      <c r="R381" s="4">
        <v>180</v>
      </c>
      <c r="S381" s="4">
        <v>12</v>
      </c>
    </row>
    <row r="382" spans="2:19" ht="11.25" x14ac:dyDescent="0.15">
      <c r="B382" s="3">
        <v>4218935</v>
      </c>
      <c r="C382" s="4">
        <v>371</v>
      </c>
      <c r="D382" s="6" t="s">
        <v>1202</v>
      </c>
      <c r="E382" s="7" t="s">
        <v>292</v>
      </c>
      <c r="F382" s="7"/>
      <c r="G382" s="7"/>
      <c r="H382" s="7"/>
      <c r="I382" s="7"/>
      <c r="J382" s="7"/>
      <c r="K382" s="7"/>
      <c r="L382" s="7" t="s">
        <v>1691</v>
      </c>
      <c r="M382" s="7"/>
      <c r="N382" s="7"/>
      <c r="O382" s="5" t="s">
        <v>1715</v>
      </c>
      <c r="P382" s="45">
        <v>26108.03</v>
      </c>
      <c r="Q382" s="47">
        <f t="shared" si="5"/>
        <v>27774.500333293996</v>
      </c>
      <c r="R382" s="4">
        <v>180</v>
      </c>
      <c r="S382" s="4">
        <v>12</v>
      </c>
    </row>
    <row r="383" spans="2:19" ht="11.25" x14ac:dyDescent="0.15">
      <c r="B383" s="3">
        <v>4218936</v>
      </c>
      <c r="C383" s="4">
        <v>372</v>
      </c>
      <c r="D383" s="6" t="s">
        <v>1203</v>
      </c>
      <c r="E383" s="7" t="s">
        <v>306</v>
      </c>
      <c r="F383" s="7"/>
      <c r="G383" s="7"/>
      <c r="H383" s="7"/>
      <c r="I383" s="7"/>
      <c r="J383" s="7"/>
      <c r="K383" s="7"/>
      <c r="L383" s="7" t="s">
        <v>1691</v>
      </c>
      <c r="M383" s="7"/>
      <c r="N383" s="7"/>
      <c r="O383" s="5" t="s">
        <v>1730</v>
      </c>
      <c r="P383" s="45">
        <v>33215.81</v>
      </c>
      <c r="Q383" s="47">
        <f t="shared" si="5"/>
        <v>35335.968509137994</v>
      </c>
      <c r="R383" s="4">
        <v>180</v>
      </c>
      <c r="S383" s="4">
        <v>12</v>
      </c>
    </row>
    <row r="384" spans="2:19" ht="24.95" customHeight="1" x14ac:dyDescent="0.15">
      <c r="B384" s="3">
        <v>4218937</v>
      </c>
      <c r="C384" s="4">
        <v>373</v>
      </c>
      <c r="D384" s="6" t="s">
        <v>1204</v>
      </c>
      <c r="E384" s="7" t="s">
        <v>307</v>
      </c>
      <c r="F384" s="7"/>
      <c r="G384" s="7"/>
      <c r="H384" s="7"/>
      <c r="I384" s="7"/>
      <c r="J384" s="7"/>
      <c r="K384" s="7"/>
      <c r="L384" s="7" t="s">
        <v>1691</v>
      </c>
      <c r="M384" s="7"/>
      <c r="N384" s="7"/>
      <c r="O384" s="5" t="s">
        <v>1731</v>
      </c>
      <c r="P384" s="45">
        <v>34827.89</v>
      </c>
      <c r="Q384" s="47">
        <f t="shared" si="5"/>
        <v>37050.947253121994</v>
      </c>
      <c r="R384" s="4">
        <v>180</v>
      </c>
      <c r="S384" s="4">
        <v>12</v>
      </c>
    </row>
    <row r="385" spans="2:19" ht="11.25" x14ac:dyDescent="0.15">
      <c r="B385" s="3">
        <v>4218938</v>
      </c>
      <c r="C385" s="4">
        <v>374</v>
      </c>
      <c r="D385" s="6" t="s">
        <v>1205</v>
      </c>
      <c r="E385" s="6">
        <v>300</v>
      </c>
      <c r="F385" s="6"/>
      <c r="G385" s="6"/>
      <c r="H385" s="6"/>
      <c r="I385" s="6"/>
      <c r="J385" s="6"/>
      <c r="K385" s="6" t="s">
        <v>1691</v>
      </c>
      <c r="L385" s="6"/>
      <c r="M385" s="6"/>
      <c r="N385" s="6"/>
      <c r="O385" s="5" t="s">
        <v>1763</v>
      </c>
      <c r="P385" s="45">
        <v>81723.3</v>
      </c>
      <c r="Q385" s="47">
        <f t="shared" si="5"/>
        <v>86939.681894339999</v>
      </c>
      <c r="R385" s="4">
        <v>180</v>
      </c>
      <c r="S385" s="4">
        <v>12</v>
      </c>
    </row>
    <row r="386" spans="2:19" ht="11.25" x14ac:dyDescent="0.15">
      <c r="B386" s="3">
        <v>4218939</v>
      </c>
      <c r="C386" s="4">
        <v>375</v>
      </c>
      <c r="D386" s="6" t="s">
        <v>1206</v>
      </c>
      <c r="E386" s="6">
        <v>300</v>
      </c>
      <c r="F386" s="6"/>
      <c r="G386" s="6"/>
      <c r="H386" s="6"/>
      <c r="I386" s="6"/>
      <c r="J386" s="6"/>
      <c r="K386" s="6"/>
      <c r="L386" s="6" t="s">
        <v>1691</v>
      </c>
      <c r="M386" s="6"/>
      <c r="N386" s="6"/>
      <c r="O386" s="5" t="s">
        <v>1763</v>
      </c>
      <c r="P386" s="45">
        <v>81723.3</v>
      </c>
      <c r="Q386" s="47">
        <f t="shared" si="5"/>
        <v>86939.681894339999</v>
      </c>
      <c r="R386" s="4">
        <v>180</v>
      </c>
      <c r="S386" s="4">
        <v>12</v>
      </c>
    </row>
    <row r="387" spans="2:19" ht="11.25" x14ac:dyDescent="0.15">
      <c r="B387" s="3">
        <v>4218940</v>
      </c>
      <c r="C387" s="4">
        <v>376</v>
      </c>
      <c r="D387" s="6" t="s">
        <v>1207</v>
      </c>
      <c r="E387" s="6">
        <v>300</v>
      </c>
      <c r="F387" s="6"/>
      <c r="G387" s="6" t="s">
        <v>1691</v>
      </c>
      <c r="H387" s="6"/>
      <c r="I387" s="6"/>
      <c r="J387" s="6"/>
      <c r="K387" s="6"/>
      <c r="L387" s="6"/>
      <c r="M387" s="6" t="s">
        <v>1691</v>
      </c>
      <c r="N387" s="6"/>
      <c r="O387" s="5" t="s">
        <v>1762</v>
      </c>
      <c r="P387" s="45">
        <v>152997.54999999999</v>
      </c>
      <c r="Q387" s="47">
        <f t="shared" si="5"/>
        <v>162763.35301698998</v>
      </c>
      <c r="R387" s="4">
        <v>180</v>
      </c>
      <c r="S387" s="4">
        <v>12</v>
      </c>
    </row>
    <row r="388" spans="2:19" ht="11.25" x14ac:dyDescent="0.15">
      <c r="B388" s="3">
        <v>4218941</v>
      </c>
      <c r="C388" s="4">
        <v>377</v>
      </c>
      <c r="D388" s="6" t="s">
        <v>1208</v>
      </c>
      <c r="E388" s="6">
        <v>300</v>
      </c>
      <c r="F388" s="6"/>
      <c r="G388" s="6"/>
      <c r="H388" s="6" t="s">
        <v>1691</v>
      </c>
      <c r="I388" s="6"/>
      <c r="J388" s="6"/>
      <c r="K388" s="6"/>
      <c r="L388" s="6"/>
      <c r="M388" s="6"/>
      <c r="N388" s="6" t="s">
        <v>1691</v>
      </c>
      <c r="O388" s="5" t="s">
        <v>1762</v>
      </c>
      <c r="P388" s="45">
        <v>152997.54999999999</v>
      </c>
      <c r="Q388" s="47">
        <f t="shared" si="5"/>
        <v>162763.35301698998</v>
      </c>
      <c r="R388" s="4">
        <v>180</v>
      </c>
      <c r="S388" s="4">
        <v>12</v>
      </c>
    </row>
    <row r="389" spans="2:19" ht="11.25" x14ac:dyDescent="0.15">
      <c r="B389" s="3">
        <v>4218942</v>
      </c>
      <c r="C389" s="4">
        <v>378</v>
      </c>
      <c r="D389" s="6" t="s">
        <v>1209</v>
      </c>
      <c r="E389" s="7" t="s">
        <v>325</v>
      </c>
      <c r="F389" s="7"/>
      <c r="G389" s="7"/>
      <c r="H389" s="7"/>
      <c r="I389" s="7"/>
      <c r="J389" s="7"/>
      <c r="K389" s="7"/>
      <c r="L389" s="7"/>
      <c r="M389" s="7"/>
      <c r="N389" s="7"/>
      <c r="O389" s="5" t="s">
        <v>324</v>
      </c>
      <c r="P389" s="45">
        <v>16723.93</v>
      </c>
      <c r="Q389" s="47">
        <f t="shared" si="5"/>
        <v>17791.415107114</v>
      </c>
      <c r="R389" s="4">
        <v>180</v>
      </c>
      <c r="S389" s="4">
        <v>12</v>
      </c>
    </row>
    <row r="390" spans="2:19" ht="11.25" x14ac:dyDescent="0.15">
      <c r="B390" s="3">
        <v>4218943</v>
      </c>
      <c r="C390" s="4">
        <v>379</v>
      </c>
      <c r="D390" s="6" t="s">
        <v>1210</v>
      </c>
      <c r="E390" s="7" t="s">
        <v>285</v>
      </c>
      <c r="F390" s="7"/>
      <c r="G390" s="7"/>
      <c r="H390" s="7"/>
      <c r="I390" s="7"/>
      <c r="J390" s="7"/>
      <c r="K390" s="7"/>
      <c r="L390" s="7"/>
      <c r="M390" s="7"/>
      <c r="N390" s="7"/>
      <c r="O390" s="5" t="s">
        <v>326</v>
      </c>
      <c r="P390" s="45">
        <v>15398.58</v>
      </c>
      <c r="Q390" s="47">
        <f t="shared" si="5"/>
        <v>16381.468281684</v>
      </c>
      <c r="R390" s="4">
        <v>180</v>
      </c>
      <c r="S390" s="4">
        <v>12</v>
      </c>
    </row>
    <row r="391" spans="2:19" ht="11.25" x14ac:dyDescent="0.15">
      <c r="B391" s="3">
        <v>4218944</v>
      </c>
      <c r="C391" s="4">
        <v>380</v>
      </c>
      <c r="D391" s="6" t="s">
        <v>1211</v>
      </c>
      <c r="E391" s="7" t="s">
        <v>328</v>
      </c>
      <c r="F391" s="7"/>
      <c r="G391" s="7"/>
      <c r="H391" s="7"/>
      <c r="I391" s="7"/>
      <c r="J391" s="7"/>
      <c r="K391" s="7"/>
      <c r="L391" s="7"/>
      <c r="M391" s="7"/>
      <c r="N391" s="7"/>
      <c r="O391" s="5" t="s">
        <v>327</v>
      </c>
      <c r="P391" s="45">
        <v>13412.37</v>
      </c>
      <c r="Q391" s="47">
        <f t="shared" si="5"/>
        <v>14268.478894626</v>
      </c>
      <c r="R391" s="4">
        <v>180</v>
      </c>
      <c r="S391" s="4">
        <v>12</v>
      </c>
    </row>
    <row r="392" spans="2:19" ht="11.25" x14ac:dyDescent="0.15">
      <c r="B392" s="3">
        <v>4218945</v>
      </c>
      <c r="C392" s="4">
        <v>381</v>
      </c>
      <c r="D392" s="6" t="s">
        <v>1212</v>
      </c>
      <c r="E392" s="7" t="s">
        <v>330</v>
      </c>
      <c r="F392" s="7"/>
      <c r="G392" s="7"/>
      <c r="H392" s="7"/>
      <c r="I392" s="7"/>
      <c r="J392" s="7"/>
      <c r="K392" s="7"/>
      <c r="L392" s="7"/>
      <c r="M392" s="7"/>
      <c r="N392" s="7"/>
      <c r="O392" s="5" t="s">
        <v>329</v>
      </c>
      <c r="P392" s="45">
        <v>14661.88</v>
      </c>
      <c r="Q392" s="47">
        <f t="shared" si="5"/>
        <v>15597.744868023998</v>
      </c>
      <c r="R392" s="4">
        <v>180</v>
      </c>
      <c r="S392" s="4">
        <v>12</v>
      </c>
    </row>
    <row r="393" spans="2:19" ht="11.25" x14ac:dyDescent="0.15">
      <c r="B393" s="3">
        <v>4218946</v>
      </c>
      <c r="C393" s="4">
        <v>382</v>
      </c>
      <c r="D393" s="6" t="s">
        <v>1213</v>
      </c>
      <c r="E393" s="7" t="s">
        <v>332</v>
      </c>
      <c r="F393" s="7"/>
      <c r="G393" s="7"/>
      <c r="H393" s="7"/>
      <c r="I393" s="7"/>
      <c r="J393" s="7"/>
      <c r="K393" s="7"/>
      <c r="L393" s="7"/>
      <c r="M393" s="7"/>
      <c r="N393" s="7"/>
      <c r="O393" s="5" t="s">
        <v>331</v>
      </c>
      <c r="P393" s="45">
        <v>15492.48</v>
      </c>
      <c r="Q393" s="47">
        <f t="shared" si="5"/>
        <v>16481.361899903997</v>
      </c>
      <c r="R393" s="4">
        <v>180</v>
      </c>
      <c r="S393" s="4">
        <v>12</v>
      </c>
    </row>
    <row r="394" spans="2:19" ht="11.25" x14ac:dyDescent="0.15">
      <c r="B394" s="3">
        <v>4218947</v>
      </c>
      <c r="C394" s="4">
        <v>383</v>
      </c>
      <c r="D394" s="6" t="s">
        <v>1214</v>
      </c>
      <c r="E394" s="7" t="s">
        <v>334</v>
      </c>
      <c r="F394" s="7"/>
      <c r="G394" s="7"/>
      <c r="H394" s="7"/>
      <c r="I394" s="7"/>
      <c r="J394" s="7"/>
      <c r="K394" s="7"/>
      <c r="L394" s="7"/>
      <c r="M394" s="7"/>
      <c r="N394" s="7"/>
      <c r="O394" s="5" t="s">
        <v>333</v>
      </c>
      <c r="P394" s="45">
        <v>14589.65</v>
      </c>
      <c r="Q394" s="47">
        <f t="shared" si="5"/>
        <v>15520.904441569999</v>
      </c>
      <c r="R394" s="4">
        <v>180</v>
      </c>
      <c r="S394" s="4">
        <v>12</v>
      </c>
    </row>
    <row r="395" spans="2:19" ht="11.25" x14ac:dyDescent="0.15">
      <c r="B395" s="3">
        <v>4218948</v>
      </c>
      <c r="C395" s="4">
        <v>384</v>
      </c>
      <c r="D395" s="6" t="s">
        <v>1215</v>
      </c>
      <c r="E395" s="7" t="s">
        <v>336</v>
      </c>
      <c r="F395" s="7"/>
      <c r="G395" s="7"/>
      <c r="H395" s="7"/>
      <c r="I395" s="7"/>
      <c r="J395" s="7"/>
      <c r="K395" s="7"/>
      <c r="L395" s="7"/>
      <c r="M395" s="7"/>
      <c r="N395" s="7"/>
      <c r="O395" s="5" t="s">
        <v>335</v>
      </c>
      <c r="P395" s="45">
        <v>12155.64</v>
      </c>
      <c r="Q395" s="47">
        <f t="shared" si="5"/>
        <v>12931.532070071999</v>
      </c>
      <c r="R395" s="4">
        <v>180</v>
      </c>
      <c r="S395" s="4">
        <v>12</v>
      </c>
    </row>
    <row r="396" spans="2:19" ht="11.25" x14ac:dyDescent="0.15">
      <c r="B396" s="3">
        <v>4218949</v>
      </c>
      <c r="C396" s="4">
        <v>385</v>
      </c>
      <c r="D396" s="6" t="s">
        <v>1216</v>
      </c>
      <c r="E396" s="7" t="s">
        <v>338</v>
      </c>
      <c r="F396" s="7"/>
      <c r="G396" s="7"/>
      <c r="H396" s="7"/>
      <c r="I396" s="7"/>
      <c r="J396" s="7"/>
      <c r="K396" s="7"/>
      <c r="L396" s="7"/>
      <c r="M396" s="7"/>
      <c r="N396" s="7"/>
      <c r="O396" s="5" t="s">
        <v>337</v>
      </c>
      <c r="P396" s="45">
        <v>12820.12</v>
      </c>
      <c r="Q396" s="47">
        <f t="shared" si="5"/>
        <v>13638.425695575999</v>
      </c>
      <c r="R396" s="4">
        <v>180</v>
      </c>
      <c r="S396" s="4">
        <v>12</v>
      </c>
    </row>
    <row r="397" spans="2:19" ht="11.25" x14ac:dyDescent="0.15">
      <c r="B397" s="3">
        <v>4218950</v>
      </c>
      <c r="C397" s="4">
        <v>386</v>
      </c>
      <c r="D397" s="6" t="s">
        <v>1217</v>
      </c>
      <c r="E397" s="7" t="s">
        <v>340</v>
      </c>
      <c r="F397" s="7"/>
      <c r="G397" s="7"/>
      <c r="H397" s="7"/>
      <c r="I397" s="7"/>
      <c r="J397" s="7"/>
      <c r="K397" s="7"/>
      <c r="L397" s="7"/>
      <c r="M397" s="7"/>
      <c r="N397" s="7"/>
      <c r="O397" s="5" t="s">
        <v>339</v>
      </c>
      <c r="P397" s="45">
        <v>11418.93</v>
      </c>
      <c r="Q397" s="47">
        <f t="shared" si="5"/>
        <v>12147.798018113999</v>
      </c>
      <c r="R397" s="4">
        <v>180</v>
      </c>
      <c r="S397" s="4">
        <v>12</v>
      </c>
    </row>
    <row r="398" spans="2:19" ht="11.25" x14ac:dyDescent="0.15">
      <c r="B398" s="3">
        <v>4218951</v>
      </c>
      <c r="C398" s="4">
        <v>387</v>
      </c>
      <c r="D398" s="6" t="s">
        <v>1218</v>
      </c>
      <c r="E398" s="7" t="s">
        <v>342</v>
      </c>
      <c r="F398" s="7"/>
      <c r="G398" s="7"/>
      <c r="H398" s="7"/>
      <c r="I398" s="7"/>
      <c r="J398" s="7"/>
      <c r="K398" s="7"/>
      <c r="L398" s="7"/>
      <c r="M398" s="7"/>
      <c r="N398" s="7"/>
      <c r="O398" s="5" t="s">
        <v>341</v>
      </c>
      <c r="P398" s="45">
        <v>11642.83</v>
      </c>
      <c r="Q398" s="47">
        <f t="shared" si="5"/>
        <v>12385.989510333999</v>
      </c>
      <c r="R398" s="4">
        <v>180</v>
      </c>
      <c r="S398" s="4">
        <v>12</v>
      </c>
    </row>
    <row r="399" spans="2:19" ht="11.25" x14ac:dyDescent="0.15">
      <c r="B399" s="3">
        <v>4218952</v>
      </c>
      <c r="C399" s="4">
        <v>388</v>
      </c>
      <c r="D399" s="6" t="s">
        <v>1219</v>
      </c>
      <c r="E399" s="7" t="s">
        <v>344</v>
      </c>
      <c r="F399" s="7"/>
      <c r="G399" s="7"/>
      <c r="H399" s="7"/>
      <c r="I399" s="7"/>
      <c r="J399" s="7"/>
      <c r="K399" s="7"/>
      <c r="L399" s="7"/>
      <c r="M399" s="7"/>
      <c r="N399" s="7"/>
      <c r="O399" s="5" t="s">
        <v>343</v>
      </c>
      <c r="P399" s="45">
        <v>11642.83</v>
      </c>
      <c r="Q399" s="47">
        <f t="shared" si="5"/>
        <v>12385.989510333999</v>
      </c>
      <c r="R399" s="4">
        <v>180</v>
      </c>
      <c r="S399" s="4">
        <v>12</v>
      </c>
    </row>
    <row r="400" spans="2:19" ht="11.25" x14ac:dyDescent="0.15">
      <c r="B400" s="3">
        <v>4218953</v>
      </c>
      <c r="C400" s="4">
        <v>389</v>
      </c>
      <c r="D400" s="6" t="s">
        <v>1220</v>
      </c>
      <c r="E400" s="7" t="s">
        <v>346</v>
      </c>
      <c r="F400" s="7"/>
      <c r="G400" s="7"/>
      <c r="H400" s="7"/>
      <c r="I400" s="7"/>
      <c r="J400" s="7"/>
      <c r="K400" s="7"/>
      <c r="L400" s="7"/>
      <c r="M400" s="7"/>
      <c r="N400" s="7"/>
      <c r="O400" s="5" t="s">
        <v>345</v>
      </c>
      <c r="P400" s="45">
        <v>19320.46</v>
      </c>
      <c r="Q400" s="47">
        <f t="shared" ref="Q400:Q463" si="6">P400*1.0638298</f>
        <v>20553.681097707999</v>
      </c>
      <c r="R400" s="4">
        <v>180</v>
      </c>
      <c r="S400" s="4">
        <v>12</v>
      </c>
    </row>
    <row r="401" spans="2:19" ht="11.25" x14ac:dyDescent="0.15">
      <c r="B401" s="3">
        <v>4218954</v>
      </c>
      <c r="C401" s="4">
        <v>390</v>
      </c>
      <c r="D401" s="6" t="s">
        <v>1221</v>
      </c>
      <c r="E401" s="7" t="s">
        <v>348</v>
      </c>
      <c r="F401" s="7"/>
      <c r="G401" s="7"/>
      <c r="H401" s="7"/>
      <c r="I401" s="7"/>
      <c r="J401" s="7"/>
      <c r="K401" s="7"/>
      <c r="L401" s="7"/>
      <c r="M401" s="7"/>
      <c r="N401" s="7"/>
      <c r="O401" s="5" t="s">
        <v>347</v>
      </c>
      <c r="P401" s="45">
        <v>17695.37</v>
      </c>
      <c r="Q401" s="47">
        <f t="shared" si="6"/>
        <v>18824.861928025999</v>
      </c>
      <c r="R401" s="4">
        <v>180</v>
      </c>
      <c r="S401" s="4">
        <v>12</v>
      </c>
    </row>
    <row r="402" spans="2:19" ht="11.25" x14ac:dyDescent="0.15">
      <c r="B402" s="3">
        <v>4218955</v>
      </c>
      <c r="C402" s="4">
        <v>391</v>
      </c>
      <c r="D402" s="6" t="s">
        <v>1222</v>
      </c>
      <c r="E402" s="7" t="s">
        <v>350</v>
      </c>
      <c r="F402" s="7"/>
      <c r="G402" s="7"/>
      <c r="H402" s="7"/>
      <c r="I402" s="7"/>
      <c r="J402" s="7"/>
      <c r="K402" s="7"/>
      <c r="L402" s="7"/>
      <c r="M402" s="7"/>
      <c r="N402" s="7"/>
      <c r="O402" s="5" t="s">
        <v>349</v>
      </c>
      <c r="P402" s="45">
        <v>20779.419999999998</v>
      </c>
      <c r="Q402" s="47">
        <f t="shared" si="6"/>
        <v>22105.766222715996</v>
      </c>
      <c r="R402" s="4">
        <v>180</v>
      </c>
      <c r="S402" s="4">
        <v>12</v>
      </c>
    </row>
    <row r="403" spans="2:19" ht="11.25" x14ac:dyDescent="0.15">
      <c r="B403" s="3">
        <v>4218956</v>
      </c>
      <c r="C403" s="4">
        <v>392</v>
      </c>
      <c r="D403" s="6" t="s">
        <v>1223</v>
      </c>
      <c r="E403" s="7" t="s">
        <v>352</v>
      </c>
      <c r="F403" s="7"/>
      <c r="G403" s="7"/>
      <c r="H403" s="7"/>
      <c r="I403" s="7"/>
      <c r="J403" s="7"/>
      <c r="K403" s="7"/>
      <c r="L403" s="7"/>
      <c r="M403" s="7"/>
      <c r="N403" s="7"/>
      <c r="O403" s="5" t="s">
        <v>351</v>
      </c>
      <c r="P403" s="45">
        <v>23105.1</v>
      </c>
      <c r="Q403" s="47">
        <f t="shared" si="6"/>
        <v>24579.893911979998</v>
      </c>
      <c r="R403" s="4">
        <v>180</v>
      </c>
      <c r="S403" s="4">
        <v>12</v>
      </c>
    </row>
    <row r="404" spans="2:19" ht="11.25" x14ac:dyDescent="0.15">
      <c r="B404" s="3">
        <v>4218957</v>
      </c>
      <c r="C404" s="4">
        <v>393</v>
      </c>
      <c r="D404" s="6" t="s">
        <v>1224</v>
      </c>
      <c r="E404" s="7" t="s">
        <v>354</v>
      </c>
      <c r="F404" s="7"/>
      <c r="G404" s="7"/>
      <c r="H404" s="7"/>
      <c r="I404" s="7"/>
      <c r="J404" s="7"/>
      <c r="K404" s="7"/>
      <c r="L404" s="7"/>
      <c r="M404" s="7"/>
      <c r="N404" s="7"/>
      <c r="O404" s="5" t="s">
        <v>353</v>
      </c>
      <c r="P404" s="45">
        <v>9725.23</v>
      </c>
      <c r="Q404" s="47">
        <f t="shared" si="6"/>
        <v>10345.989485853999</v>
      </c>
      <c r="R404" s="4">
        <v>180</v>
      </c>
      <c r="S404" s="4">
        <v>12</v>
      </c>
    </row>
    <row r="405" spans="2:19" ht="11.25" x14ac:dyDescent="0.15">
      <c r="B405" s="3">
        <v>4218958</v>
      </c>
      <c r="C405" s="4">
        <v>394</v>
      </c>
      <c r="D405" s="6" t="s">
        <v>1225</v>
      </c>
      <c r="E405" s="7" t="s">
        <v>356</v>
      </c>
      <c r="F405" s="7"/>
      <c r="G405" s="7"/>
      <c r="H405" s="7"/>
      <c r="I405" s="7"/>
      <c r="J405" s="7"/>
      <c r="K405" s="7"/>
      <c r="L405" s="7"/>
      <c r="M405" s="7"/>
      <c r="N405" s="7"/>
      <c r="O405" s="5" t="s">
        <v>355</v>
      </c>
      <c r="P405" s="45">
        <v>25712.46</v>
      </c>
      <c r="Q405" s="47">
        <f t="shared" si="6"/>
        <v>27353.681179307998</v>
      </c>
      <c r="R405" s="4">
        <v>180</v>
      </c>
      <c r="S405" s="4">
        <v>12</v>
      </c>
    </row>
    <row r="406" spans="2:19" ht="11.25" x14ac:dyDescent="0.15">
      <c r="B406" s="3">
        <v>4218959</v>
      </c>
      <c r="C406" s="4">
        <v>395</v>
      </c>
      <c r="D406" s="6" t="s">
        <v>1226</v>
      </c>
      <c r="E406" s="7" t="s">
        <v>358</v>
      </c>
      <c r="F406" s="7" t="s">
        <v>1691</v>
      </c>
      <c r="G406" s="7"/>
      <c r="H406" s="7"/>
      <c r="I406" s="7"/>
      <c r="J406" s="7"/>
      <c r="K406" s="7"/>
      <c r="L406" s="7"/>
      <c r="M406" s="7"/>
      <c r="N406" s="7"/>
      <c r="O406" s="5" t="s">
        <v>357</v>
      </c>
      <c r="P406" s="45">
        <v>17442.580000000002</v>
      </c>
      <c r="Q406" s="47">
        <f t="shared" si="6"/>
        <v>18555.936392883999</v>
      </c>
      <c r="R406" s="4">
        <v>180</v>
      </c>
      <c r="S406" s="4">
        <v>12</v>
      </c>
    </row>
    <row r="407" spans="2:19" ht="11.25" x14ac:dyDescent="0.15">
      <c r="B407" s="3">
        <v>4218960</v>
      </c>
      <c r="C407" s="4">
        <v>396</v>
      </c>
      <c r="D407" s="6" t="s">
        <v>1227</v>
      </c>
      <c r="E407" s="7" t="s">
        <v>360</v>
      </c>
      <c r="F407" s="7"/>
      <c r="G407" s="7"/>
      <c r="H407" s="7"/>
      <c r="I407" s="7"/>
      <c r="J407" s="7"/>
      <c r="K407" s="7"/>
      <c r="L407" s="7"/>
      <c r="M407" s="7"/>
      <c r="N407" s="7"/>
      <c r="O407" s="5" t="s">
        <v>359</v>
      </c>
      <c r="P407" s="45">
        <v>12155.64</v>
      </c>
      <c r="Q407" s="47">
        <f t="shared" si="6"/>
        <v>12931.532070071999</v>
      </c>
      <c r="R407" s="4">
        <v>180</v>
      </c>
      <c r="S407" s="4">
        <v>12</v>
      </c>
    </row>
    <row r="408" spans="2:19" ht="11.25" x14ac:dyDescent="0.15">
      <c r="B408" s="3">
        <v>4218961</v>
      </c>
      <c r="C408" s="4">
        <v>397</v>
      </c>
      <c r="D408" s="6" t="s">
        <v>1228</v>
      </c>
      <c r="E408" s="7" t="s">
        <v>362</v>
      </c>
      <c r="F408" s="7"/>
      <c r="G408" s="7"/>
      <c r="H408" s="7"/>
      <c r="I408" s="7"/>
      <c r="J408" s="7"/>
      <c r="K408" s="7"/>
      <c r="L408" s="7"/>
      <c r="M408" s="7"/>
      <c r="N408" s="7"/>
      <c r="O408" s="5" t="s">
        <v>361</v>
      </c>
      <c r="P408" s="45">
        <v>12155.64</v>
      </c>
      <c r="Q408" s="47">
        <f t="shared" si="6"/>
        <v>12931.532070071999</v>
      </c>
      <c r="R408" s="4">
        <v>180</v>
      </c>
      <c r="S408" s="4">
        <v>12</v>
      </c>
    </row>
    <row r="409" spans="2:19" ht="11.25" x14ac:dyDescent="0.15">
      <c r="B409" s="3">
        <v>4218962</v>
      </c>
      <c r="C409" s="4">
        <v>398</v>
      </c>
      <c r="D409" s="6" t="s">
        <v>1229</v>
      </c>
      <c r="E409" s="7" t="s">
        <v>364</v>
      </c>
      <c r="F409" s="7"/>
      <c r="G409" s="7"/>
      <c r="H409" s="7"/>
      <c r="I409" s="7"/>
      <c r="J409" s="7"/>
      <c r="K409" s="7"/>
      <c r="L409" s="7"/>
      <c r="M409" s="7"/>
      <c r="N409" s="7"/>
      <c r="O409" s="5" t="s">
        <v>363</v>
      </c>
      <c r="P409" s="45">
        <v>2970.46</v>
      </c>
      <c r="Q409" s="47">
        <f t="shared" si="6"/>
        <v>3160.0638677079996</v>
      </c>
      <c r="R409" s="4">
        <v>180</v>
      </c>
      <c r="S409" s="4">
        <v>12</v>
      </c>
    </row>
    <row r="410" spans="2:19" ht="11.25" x14ac:dyDescent="0.15">
      <c r="B410" s="3">
        <v>4218963</v>
      </c>
      <c r="C410" s="4">
        <v>399</v>
      </c>
      <c r="D410" s="6" t="s">
        <v>1230</v>
      </c>
      <c r="E410" s="7" t="s">
        <v>364</v>
      </c>
      <c r="F410" s="7"/>
      <c r="G410" s="7"/>
      <c r="H410" s="7"/>
      <c r="I410" s="7"/>
      <c r="J410" s="7"/>
      <c r="K410" s="7"/>
      <c r="L410" s="7"/>
      <c r="M410" s="7"/>
      <c r="N410" s="7"/>
      <c r="O410" s="5" t="s">
        <v>365</v>
      </c>
      <c r="P410" s="45">
        <v>2970.46</v>
      </c>
      <c r="Q410" s="47">
        <f t="shared" si="6"/>
        <v>3160.0638677079996</v>
      </c>
      <c r="R410" s="4">
        <v>180</v>
      </c>
      <c r="S410" s="4">
        <v>12</v>
      </c>
    </row>
    <row r="411" spans="2:19" ht="11.25" x14ac:dyDescent="0.15">
      <c r="B411" s="3">
        <v>4218964</v>
      </c>
      <c r="C411" s="4">
        <v>400</v>
      </c>
      <c r="D411" s="6" t="s">
        <v>1231</v>
      </c>
      <c r="E411" s="7" t="s">
        <v>364</v>
      </c>
      <c r="F411" s="7"/>
      <c r="G411" s="7"/>
      <c r="H411" s="7"/>
      <c r="I411" s="7"/>
      <c r="J411" s="7"/>
      <c r="K411" s="7"/>
      <c r="L411" s="7"/>
      <c r="M411" s="7"/>
      <c r="N411" s="7"/>
      <c r="O411" s="5" t="s">
        <v>366</v>
      </c>
      <c r="P411" s="45">
        <v>2970.46</v>
      </c>
      <c r="Q411" s="47">
        <f t="shared" si="6"/>
        <v>3160.0638677079996</v>
      </c>
      <c r="R411" s="4">
        <v>180</v>
      </c>
      <c r="S411" s="4">
        <v>12</v>
      </c>
    </row>
    <row r="412" spans="2:19" ht="11.25" x14ac:dyDescent="0.15">
      <c r="B412" s="3">
        <v>4218965</v>
      </c>
      <c r="C412" s="4">
        <v>401</v>
      </c>
      <c r="D412" s="6" t="s">
        <v>1232</v>
      </c>
      <c r="E412" s="7" t="s">
        <v>364</v>
      </c>
      <c r="F412" s="7"/>
      <c r="G412" s="7"/>
      <c r="H412" s="7"/>
      <c r="I412" s="7"/>
      <c r="J412" s="7"/>
      <c r="K412" s="7"/>
      <c r="L412" s="7"/>
      <c r="M412" s="7"/>
      <c r="N412" s="7"/>
      <c r="O412" s="5" t="s">
        <v>367</v>
      </c>
      <c r="P412" s="45">
        <v>2970.46</v>
      </c>
      <c r="Q412" s="47">
        <f t="shared" si="6"/>
        <v>3160.0638677079996</v>
      </c>
      <c r="R412" s="4">
        <v>180</v>
      </c>
      <c r="S412" s="4">
        <v>12</v>
      </c>
    </row>
    <row r="413" spans="2:19" ht="11.25" x14ac:dyDescent="0.15">
      <c r="B413" s="3">
        <v>4218966</v>
      </c>
      <c r="C413" s="4">
        <v>402</v>
      </c>
      <c r="D413" s="6" t="s">
        <v>1233</v>
      </c>
      <c r="E413" s="7" t="s">
        <v>369</v>
      </c>
      <c r="F413" s="7"/>
      <c r="G413" s="7"/>
      <c r="H413" s="7"/>
      <c r="I413" s="7"/>
      <c r="J413" s="7"/>
      <c r="K413" s="7"/>
      <c r="L413" s="7"/>
      <c r="M413" s="7"/>
      <c r="N413" s="7"/>
      <c r="O413" s="5" t="s">
        <v>368</v>
      </c>
      <c r="P413" s="45">
        <v>2970.46</v>
      </c>
      <c r="Q413" s="47">
        <f t="shared" si="6"/>
        <v>3160.0638677079996</v>
      </c>
      <c r="R413" s="4">
        <v>180</v>
      </c>
      <c r="S413" s="4">
        <v>12</v>
      </c>
    </row>
    <row r="414" spans="2:19" ht="11.25" x14ac:dyDescent="0.15">
      <c r="B414" s="3">
        <v>4218967</v>
      </c>
      <c r="C414" s="4">
        <v>403</v>
      </c>
      <c r="D414" s="6" t="s">
        <v>1234</v>
      </c>
      <c r="E414" s="7" t="s">
        <v>369</v>
      </c>
      <c r="F414" s="7"/>
      <c r="G414" s="7"/>
      <c r="H414" s="7"/>
      <c r="I414" s="7"/>
      <c r="J414" s="7"/>
      <c r="K414" s="7"/>
      <c r="L414" s="7"/>
      <c r="M414" s="7"/>
      <c r="N414" s="7"/>
      <c r="O414" s="5" t="s">
        <v>370</v>
      </c>
      <c r="P414" s="45">
        <v>2970.46</v>
      </c>
      <c r="Q414" s="47">
        <f t="shared" si="6"/>
        <v>3160.0638677079996</v>
      </c>
      <c r="R414" s="4">
        <v>180</v>
      </c>
      <c r="S414" s="4">
        <v>12</v>
      </c>
    </row>
    <row r="415" spans="2:19" ht="11.25" x14ac:dyDescent="0.15">
      <c r="B415" s="3">
        <v>4218968</v>
      </c>
      <c r="C415" s="4">
        <v>404</v>
      </c>
      <c r="D415" s="6" t="s">
        <v>1235</v>
      </c>
      <c r="E415" s="7" t="s">
        <v>372</v>
      </c>
      <c r="F415" s="7"/>
      <c r="G415" s="7"/>
      <c r="H415" s="7"/>
      <c r="I415" s="7"/>
      <c r="J415" s="7"/>
      <c r="K415" s="7"/>
      <c r="L415" s="7"/>
      <c r="M415" s="7"/>
      <c r="N415" s="7"/>
      <c r="O415" s="5" t="s">
        <v>371</v>
      </c>
      <c r="P415" s="45">
        <v>2970.46</v>
      </c>
      <c r="Q415" s="47">
        <f t="shared" si="6"/>
        <v>3160.0638677079996</v>
      </c>
      <c r="R415" s="4">
        <v>180</v>
      </c>
      <c r="S415" s="4">
        <v>12</v>
      </c>
    </row>
    <row r="416" spans="2:19" ht="11.25" x14ac:dyDescent="0.15">
      <c r="B416" s="3">
        <v>4218969</v>
      </c>
      <c r="C416" s="4">
        <v>405</v>
      </c>
      <c r="D416" s="6" t="s">
        <v>1236</v>
      </c>
      <c r="E416" s="7" t="s">
        <v>372</v>
      </c>
      <c r="F416" s="7"/>
      <c r="G416" s="7"/>
      <c r="H416" s="7"/>
      <c r="I416" s="7"/>
      <c r="J416" s="7"/>
      <c r="K416" s="7"/>
      <c r="L416" s="7"/>
      <c r="M416" s="7"/>
      <c r="N416" s="7"/>
      <c r="O416" s="5" t="s">
        <v>373</v>
      </c>
      <c r="P416" s="45">
        <v>2970.46</v>
      </c>
      <c r="Q416" s="47">
        <f t="shared" si="6"/>
        <v>3160.0638677079996</v>
      </c>
      <c r="R416" s="4">
        <v>180</v>
      </c>
      <c r="S416" s="4">
        <v>12</v>
      </c>
    </row>
    <row r="417" spans="2:19" ht="11.25" x14ac:dyDescent="0.15">
      <c r="B417" s="3">
        <v>4218970</v>
      </c>
      <c r="C417" s="4">
        <v>406</v>
      </c>
      <c r="D417" s="6" t="s">
        <v>1237</v>
      </c>
      <c r="E417" s="7" t="s">
        <v>372</v>
      </c>
      <c r="F417" s="7"/>
      <c r="G417" s="7"/>
      <c r="H417" s="7"/>
      <c r="I417" s="7"/>
      <c r="J417" s="7"/>
      <c r="K417" s="7"/>
      <c r="L417" s="7"/>
      <c r="M417" s="7"/>
      <c r="N417" s="7"/>
      <c r="O417" s="5" t="s">
        <v>374</v>
      </c>
      <c r="P417" s="45">
        <v>2970.46</v>
      </c>
      <c r="Q417" s="47">
        <f t="shared" si="6"/>
        <v>3160.0638677079996</v>
      </c>
      <c r="R417" s="4">
        <v>180</v>
      </c>
      <c r="S417" s="4">
        <v>12</v>
      </c>
    </row>
    <row r="418" spans="2:19" ht="11.25" x14ac:dyDescent="0.15">
      <c r="B418" s="3">
        <v>4218971</v>
      </c>
      <c r="C418" s="4">
        <v>407</v>
      </c>
      <c r="D418" s="6" t="s">
        <v>1238</v>
      </c>
      <c r="E418" s="7" t="s">
        <v>376</v>
      </c>
      <c r="F418" s="7"/>
      <c r="G418" s="7"/>
      <c r="H418" s="7"/>
      <c r="I418" s="7"/>
      <c r="J418" s="7"/>
      <c r="K418" s="7"/>
      <c r="L418" s="7"/>
      <c r="M418" s="7"/>
      <c r="N418" s="7"/>
      <c r="O418" s="5" t="s">
        <v>375</v>
      </c>
      <c r="P418" s="45">
        <v>2970.46</v>
      </c>
      <c r="Q418" s="47">
        <f t="shared" si="6"/>
        <v>3160.0638677079996</v>
      </c>
      <c r="R418" s="4">
        <v>180</v>
      </c>
      <c r="S418" s="4">
        <v>12</v>
      </c>
    </row>
    <row r="419" spans="2:19" ht="11.25" x14ac:dyDescent="0.15">
      <c r="B419" s="3">
        <v>4218972</v>
      </c>
      <c r="C419" s="4">
        <v>408</v>
      </c>
      <c r="D419" s="6" t="s">
        <v>1239</v>
      </c>
      <c r="E419" s="7" t="s">
        <v>378</v>
      </c>
      <c r="F419" s="7"/>
      <c r="G419" s="7"/>
      <c r="H419" s="7"/>
      <c r="I419" s="7"/>
      <c r="J419" s="7"/>
      <c r="K419" s="7"/>
      <c r="L419" s="7"/>
      <c r="M419" s="7"/>
      <c r="N419" s="7"/>
      <c r="O419" s="5" t="s">
        <v>377</v>
      </c>
      <c r="P419" s="45">
        <v>687.18</v>
      </c>
      <c r="Q419" s="47">
        <f t="shared" si="6"/>
        <v>731.0425619639999</v>
      </c>
      <c r="R419" s="4">
        <v>180</v>
      </c>
      <c r="S419" s="4">
        <v>12</v>
      </c>
    </row>
    <row r="420" spans="2:19" ht="11.25" x14ac:dyDescent="0.15">
      <c r="B420" s="3">
        <v>4218973</v>
      </c>
      <c r="C420" s="4">
        <v>409</v>
      </c>
      <c r="D420" s="6" t="s">
        <v>1240</v>
      </c>
      <c r="E420" s="7" t="s">
        <v>378</v>
      </c>
      <c r="F420" s="7"/>
      <c r="G420" s="7"/>
      <c r="H420" s="7"/>
      <c r="I420" s="7"/>
      <c r="J420" s="7"/>
      <c r="K420" s="7"/>
      <c r="L420" s="7"/>
      <c r="M420" s="7"/>
      <c r="N420" s="7"/>
      <c r="O420" s="5" t="s">
        <v>379</v>
      </c>
      <c r="P420" s="45">
        <v>687.18</v>
      </c>
      <c r="Q420" s="47">
        <f t="shared" si="6"/>
        <v>731.0425619639999</v>
      </c>
      <c r="R420" s="4">
        <v>180</v>
      </c>
      <c r="S420" s="4">
        <v>12</v>
      </c>
    </row>
    <row r="421" spans="2:19" ht="11.25" x14ac:dyDescent="0.15">
      <c r="B421" s="3">
        <v>4218974</v>
      </c>
      <c r="C421" s="4">
        <v>410</v>
      </c>
      <c r="D421" s="6" t="s">
        <v>1241</v>
      </c>
      <c r="E421" s="7" t="s">
        <v>381</v>
      </c>
      <c r="F421" s="7"/>
      <c r="G421" s="7"/>
      <c r="H421" s="7"/>
      <c r="I421" s="7"/>
      <c r="J421" s="7"/>
      <c r="K421" s="7"/>
      <c r="L421" s="7"/>
      <c r="M421" s="7"/>
      <c r="N421" s="7"/>
      <c r="O421" s="5" t="s">
        <v>380</v>
      </c>
      <c r="P421" s="45">
        <v>687.18</v>
      </c>
      <c r="Q421" s="47">
        <f t="shared" si="6"/>
        <v>731.0425619639999</v>
      </c>
      <c r="R421" s="4">
        <v>180</v>
      </c>
      <c r="S421" s="4">
        <v>12</v>
      </c>
    </row>
    <row r="422" spans="2:19" ht="11.25" x14ac:dyDescent="0.15">
      <c r="B422" s="3">
        <v>4218975</v>
      </c>
      <c r="C422" s="4">
        <v>411</v>
      </c>
      <c r="D422" s="6" t="s">
        <v>1242</v>
      </c>
      <c r="E422" s="7" t="s">
        <v>381</v>
      </c>
      <c r="F422" s="7"/>
      <c r="G422" s="7"/>
      <c r="H422" s="7"/>
      <c r="I422" s="7"/>
      <c r="J422" s="7"/>
      <c r="K422" s="7"/>
      <c r="L422" s="7"/>
      <c r="M422" s="7"/>
      <c r="N422" s="7"/>
      <c r="O422" s="5" t="s">
        <v>382</v>
      </c>
      <c r="P422" s="45">
        <v>687.18</v>
      </c>
      <c r="Q422" s="47">
        <f t="shared" si="6"/>
        <v>731.0425619639999</v>
      </c>
      <c r="R422" s="4">
        <v>180</v>
      </c>
      <c r="S422" s="4">
        <v>12</v>
      </c>
    </row>
    <row r="423" spans="2:19" ht="11.25" x14ac:dyDescent="0.15">
      <c r="B423" s="3">
        <v>4218976</v>
      </c>
      <c r="C423" s="4">
        <v>412</v>
      </c>
      <c r="D423" s="6" t="s">
        <v>1243</v>
      </c>
      <c r="E423" s="7" t="s">
        <v>381</v>
      </c>
      <c r="F423" s="7"/>
      <c r="G423" s="7"/>
      <c r="H423" s="7"/>
      <c r="I423" s="7"/>
      <c r="J423" s="7"/>
      <c r="K423" s="7"/>
      <c r="L423" s="7"/>
      <c r="M423" s="7"/>
      <c r="N423" s="7"/>
      <c r="O423" s="5" t="s">
        <v>383</v>
      </c>
      <c r="P423" s="45">
        <v>687.18</v>
      </c>
      <c r="Q423" s="47">
        <f t="shared" si="6"/>
        <v>731.0425619639999</v>
      </c>
      <c r="R423" s="4">
        <v>180</v>
      </c>
      <c r="S423" s="4">
        <v>12</v>
      </c>
    </row>
    <row r="424" spans="2:19" ht="11.25" x14ac:dyDescent="0.15">
      <c r="B424" s="3">
        <v>4218977</v>
      </c>
      <c r="C424" s="4">
        <v>413</v>
      </c>
      <c r="D424" s="6" t="s">
        <v>1244</v>
      </c>
      <c r="E424" s="7" t="s">
        <v>385</v>
      </c>
      <c r="F424" s="7"/>
      <c r="G424" s="7"/>
      <c r="H424" s="7"/>
      <c r="I424" s="7"/>
      <c r="J424" s="7"/>
      <c r="K424" s="7"/>
      <c r="L424" s="7"/>
      <c r="M424" s="7"/>
      <c r="N424" s="7"/>
      <c r="O424" s="5" t="s">
        <v>384</v>
      </c>
      <c r="P424" s="45">
        <v>191.91</v>
      </c>
      <c r="Q424" s="47">
        <f t="shared" si="6"/>
        <v>204.15957691799997</v>
      </c>
      <c r="R424" s="4">
        <v>180</v>
      </c>
      <c r="S424" s="4">
        <v>12</v>
      </c>
    </row>
    <row r="425" spans="2:19" ht="11.25" x14ac:dyDescent="0.15">
      <c r="B425" s="3">
        <v>4218978</v>
      </c>
      <c r="C425" s="4">
        <v>414</v>
      </c>
      <c r="D425" s="6" t="s">
        <v>1245</v>
      </c>
      <c r="E425" s="7" t="s">
        <v>385</v>
      </c>
      <c r="F425" s="7"/>
      <c r="G425" s="7"/>
      <c r="H425" s="7"/>
      <c r="I425" s="7"/>
      <c r="J425" s="7"/>
      <c r="K425" s="7"/>
      <c r="L425" s="7"/>
      <c r="M425" s="7"/>
      <c r="N425" s="7"/>
      <c r="O425" s="5" t="s">
        <v>386</v>
      </c>
      <c r="P425" s="45">
        <v>191.91</v>
      </c>
      <c r="Q425" s="47">
        <f t="shared" si="6"/>
        <v>204.15957691799997</v>
      </c>
      <c r="R425" s="4">
        <v>180</v>
      </c>
      <c r="S425" s="4">
        <v>12</v>
      </c>
    </row>
    <row r="426" spans="2:19" ht="11.25" x14ac:dyDescent="0.15">
      <c r="B426" s="3">
        <v>4218979</v>
      </c>
      <c r="C426" s="4">
        <v>415</v>
      </c>
      <c r="D426" s="6" t="s">
        <v>1246</v>
      </c>
      <c r="E426" s="7" t="s">
        <v>385</v>
      </c>
      <c r="F426" s="7"/>
      <c r="G426" s="7"/>
      <c r="H426" s="7"/>
      <c r="I426" s="7"/>
      <c r="J426" s="7"/>
      <c r="K426" s="7"/>
      <c r="L426" s="7"/>
      <c r="M426" s="7"/>
      <c r="N426" s="7"/>
      <c r="O426" s="5" t="s">
        <v>387</v>
      </c>
      <c r="P426" s="45">
        <v>191.91</v>
      </c>
      <c r="Q426" s="47">
        <f t="shared" si="6"/>
        <v>204.15957691799997</v>
      </c>
      <c r="R426" s="4">
        <v>180</v>
      </c>
      <c r="S426" s="4">
        <v>12</v>
      </c>
    </row>
    <row r="427" spans="2:19" ht="11.25" x14ac:dyDescent="0.15">
      <c r="B427" s="3">
        <v>4218980</v>
      </c>
      <c r="C427" s="4">
        <v>416</v>
      </c>
      <c r="D427" s="6" t="s">
        <v>1247</v>
      </c>
      <c r="E427" s="7" t="s">
        <v>381</v>
      </c>
      <c r="F427" s="7"/>
      <c r="G427" s="7"/>
      <c r="H427" s="7"/>
      <c r="I427" s="7"/>
      <c r="J427" s="7"/>
      <c r="K427" s="7"/>
      <c r="L427" s="7"/>
      <c r="M427" s="7"/>
      <c r="N427" s="7"/>
      <c r="O427" s="5" t="s">
        <v>388</v>
      </c>
      <c r="P427" s="45">
        <v>687.18</v>
      </c>
      <c r="Q427" s="47">
        <f t="shared" si="6"/>
        <v>731.0425619639999</v>
      </c>
      <c r="R427" s="4">
        <v>180</v>
      </c>
      <c r="S427" s="4">
        <v>12</v>
      </c>
    </row>
    <row r="428" spans="2:19" ht="11.25" x14ac:dyDescent="0.15">
      <c r="B428" s="3">
        <v>4218981</v>
      </c>
      <c r="C428" s="4">
        <v>417</v>
      </c>
      <c r="D428" s="6" t="s">
        <v>1248</v>
      </c>
      <c r="E428" s="7" t="s">
        <v>381</v>
      </c>
      <c r="F428" s="7"/>
      <c r="G428" s="7"/>
      <c r="H428" s="7"/>
      <c r="I428" s="7"/>
      <c r="J428" s="7"/>
      <c r="K428" s="7"/>
      <c r="L428" s="7"/>
      <c r="M428" s="7"/>
      <c r="N428" s="7"/>
      <c r="O428" s="5" t="s">
        <v>389</v>
      </c>
      <c r="P428" s="45">
        <v>687.18</v>
      </c>
      <c r="Q428" s="47">
        <f t="shared" si="6"/>
        <v>731.0425619639999</v>
      </c>
      <c r="R428" s="4">
        <v>180</v>
      </c>
      <c r="S428" s="4">
        <v>12</v>
      </c>
    </row>
    <row r="429" spans="2:19" ht="11.25" x14ac:dyDescent="0.15">
      <c r="B429" s="3">
        <v>4218982</v>
      </c>
      <c r="C429" s="4">
        <v>418</v>
      </c>
      <c r="D429" s="6" t="s">
        <v>1249</v>
      </c>
      <c r="E429" s="7" t="s">
        <v>391</v>
      </c>
      <c r="F429" s="7"/>
      <c r="G429" s="7"/>
      <c r="H429" s="7"/>
      <c r="I429" s="7"/>
      <c r="J429" s="7"/>
      <c r="K429" s="7"/>
      <c r="L429" s="7"/>
      <c r="M429" s="7"/>
      <c r="N429" s="7"/>
      <c r="O429" s="5" t="s">
        <v>390</v>
      </c>
      <c r="P429" s="45">
        <v>473.48</v>
      </c>
      <c r="Q429" s="47">
        <f t="shared" si="6"/>
        <v>503.702133704</v>
      </c>
      <c r="R429" s="4">
        <v>180</v>
      </c>
      <c r="S429" s="4">
        <v>12</v>
      </c>
    </row>
    <row r="430" spans="2:19" ht="11.25" x14ac:dyDescent="0.15">
      <c r="B430" s="3">
        <v>4218983</v>
      </c>
      <c r="C430" s="4">
        <v>419</v>
      </c>
      <c r="D430" s="6" t="s">
        <v>1250</v>
      </c>
      <c r="E430" s="7" t="s">
        <v>393</v>
      </c>
      <c r="F430" s="7"/>
      <c r="G430" s="7"/>
      <c r="H430" s="7"/>
      <c r="I430" s="7"/>
      <c r="J430" s="7"/>
      <c r="K430" s="7"/>
      <c r="L430" s="7"/>
      <c r="M430" s="7"/>
      <c r="N430" s="7"/>
      <c r="O430" s="5" t="s">
        <v>392</v>
      </c>
      <c r="P430" s="45">
        <v>588.25</v>
      </c>
      <c r="Q430" s="47">
        <f t="shared" si="6"/>
        <v>625.79787984999996</v>
      </c>
      <c r="R430" s="4">
        <v>180</v>
      </c>
      <c r="S430" s="4">
        <v>12</v>
      </c>
    </row>
    <row r="431" spans="2:19" ht="11.25" x14ac:dyDescent="0.15">
      <c r="B431" s="3">
        <v>4218984</v>
      </c>
      <c r="C431" s="4">
        <v>420</v>
      </c>
      <c r="D431" s="6" t="s">
        <v>1251</v>
      </c>
      <c r="E431" s="7" t="s">
        <v>395</v>
      </c>
      <c r="F431" s="7"/>
      <c r="G431" s="7"/>
      <c r="H431" s="7"/>
      <c r="I431" s="7"/>
      <c r="J431" s="7"/>
      <c r="K431" s="7"/>
      <c r="L431" s="7"/>
      <c r="M431" s="7"/>
      <c r="N431" s="7"/>
      <c r="O431" s="5" t="s">
        <v>394</v>
      </c>
      <c r="P431" s="45">
        <v>792.99</v>
      </c>
      <c r="Q431" s="47">
        <f t="shared" si="6"/>
        <v>843.60639310199997</v>
      </c>
      <c r="R431" s="4">
        <v>180</v>
      </c>
      <c r="S431" s="4">
        <v>12</v>
      </c>
    </row>
    <row r="432" spans="2:19" ht="11.25" x14ac:dyDescent="0.15">
      <c r="B432" s="3">
        <v>4218985</v>
      </c>
      <c r="C432" s="4">
        <v>421</v>
      </c>
      <c r="D432" s="6" t="s">
        <v>1252</v>
      </c>
      <c r="E432" s="7" t="s">
        <v>397</v>
      </c>
      <c r="F432" s="7"/>
      <c r="G432" s="7"/>
      <c r="H432" s="7"/>
      <c r="I432" s="7"/>
      <c r="J432" s="7"/>
      <c r="K432" s="7"/>
      <c r="L432" s="7"/>
      <c r="M432" s="7"/>
      <c r="N432" s="7"/>
      <c r="O432" s="5" t="s">
        <v>396</v>
      </c>
      <c r="P432" s="45">
        <v>71.72</v>
      </c>
      <c r="Q432" s="47">
        <f t="shared" si="6"/>
        <v>76.297873255999988</v>
      </c>
      <c r="R432" s="4">
        <v>180</v>
      </c>
      <c r="S432" s="4">
        <v>12</v>
      </c>
    </row>
    <row r="433" spans="2:19" ht="11.25" x14ac:dyDescent="0.15">
      <c r="B433" s="3">
        <v>4218986</v>
      </c>
      <c r="C433" s="4">
        <v>422</v>
      </c>
      <c r="D433" s="6" t="s">
        <v>1253</v>
      </c>
      <c r="E433" s="7" t="s">
        <v>399</v>
      </c>
      <c r="F433" s="7"/>
      <c r="G433" s="7"/>
      <c r="H433" s="7"/>
      <c r="I433" s="7"/>
      <c r="J433" s="7"/>
      <c r="K433" s="7"/>
      <c r="L433" s="7"/>
      <c r="M433" s="7"/>
      <c r="N433" s="7"/>
      <c r="O433" s="5" t="s">
        <v>398</v>
      </c>
      <c r="P433" s="45">
        <v>71.72</v>
      </c>
      <c r="Q433" s="47">
        <f t="shared" si="6"/>
        <v>76.297873255999988</v>
      </c>
      <c r="R433" s="4">
        <v>180</v>
      </c>
      <c r="S433" s="4">
        <v>12</v>
      </c>
    </row>
    <row r="434" spans="2:19" ht="11.25" x14ac:dyDescent="0.15">
      <c r="B434" s="3">
        <v>4218987</v>
      </c>
      <c r="C434" s="4">
        <v>423</v>
      </c>
      <c r="D434" s="6" t="s">
        <v>1254</v>
      </c>
      <c r="E434" s="7" t="s">
        <v>401</v>
      </c>
      <c r="F434" s="7"/>
      <c r="G434" s="7"/>
      <c r="H434" s="7"/>
      <c r="I434" s="7"/>
      <c r="J434" s="7"/>
      <c r="K434" s="7"/>
      <c r="L434" s="7"/>
      <c r="M434" s="7"/>
      <c r="N434" s="7"/>
      <c r="O434" s="5" t="s">
        <v>400</v>
      </c>
      <c r="P434" s="45">
        <v>79.36</v>
      </c>
      <c r="Q434" s="47">
        <f t="shared" si="6"/>
        <v>84.425532927999996</v>
      </c>
      <c r="R434" s="4">
        <v>180</v>
      </c>
      <c r="S434" s="4">
        <v>12</v>
      </c>
    </row>
    <row r="435" spans="2:19" ht="11.25" x14ac:dyDescent="0.15">
      <c r="B435" s="3">
        <v>4218988</v>
      </c>
      <c r="C435" s="4">
        <v>424</v>
      </c>
      <c r="D435" s="6" t="s">
        <v>1255</v>
      </c>
      <c r="E435" s="7" t="s">
        <v>403</v>
      </c>
      <c r="F435" s="7"/>
      <c r="G435" s="7"/>
      <c r="H435" s="7"/>
      <c r="I435" s="7"/>
      <c r="J435" s="7"/>
      <c r="K435" s="7"/>
      <c r="L435" s="7"/>
      <c r="M435" s="7"/>
      <c r="N435" s="7"/>
      <c r="O435" s="5" t="s">
        <v>402</v>
      </c>
      <c r="P435" s="45">
        <v>10.26</v>
      </c>
      <c r="Q435" s="47">
        <f t="shared" si="6"/>
        <v>10.914893747999999</v>
      </c>
      <c r="R435" s="4">
        <v>180</v>
      </c>
      <c r="S435" s="4">
        <v>12</v>
      </c>
    </row>
    <row r="436" spans="2:19" ht="11.25" x14ac:dyDescent="0.15">
      <c r="B436" s="3">
        <v>4218989</v>
      </c>
      <c r="C436" s="4">
        <v>425</v>
      </c>
      <c r="D436" s="6" t="s">
        <v>1256</v>
      </c>
      <c r="E436" s="7" t="s">
        <v>403</v>
      </c>
      <c r="F436" s="7"/>
      <c r="G436" s="7"/>
      <c r="H436" s="7"/>
      <c r="I436" s="7"/>
      <c r="J436" s="7"/>
      <c r="K436" s="7"/>
      <c r="L436" s="7"/>
      <c r="M436" s="7"/>
      <c r="N436" s="7"/>
      <c r="O436" s="5" t="s">
        <v>404</v>
      </c>
      <c r="P436" s="45">
        <v>10.26</v>
      </c>
      <c r="Q436" s="47">
        <f t="shared" si="6"/>
        <v>10.914893747999999</v>
      </c>
      <c r="R436" s="4">
        <v>180</v>
      </c>
      <c r="S436" s="4">
        <v>12</v>
      </c>
    </row>
    <row r="437" spans="2:19" ht="11.25" x14ac:dyDescent="0.15">
      <c r="B437" s="3">
        <v>4218990</v>
      </c>
      <c r="C437" s="4">
        <v>426</v>
      </c>
      <c r="D437" s="6" t="s">
        <v>1257</v>
      </c>
      <c r="E437" s="7" t="s">
        <v>406</v>
      </c>
      <c r="F437" s="7"/>
      <c r="G437" s="7"/>
      <c r="H437" s="7"/>
      <c r="I437" s="7"/>
      <c r="J437" s="7"/>
      <c r="K437" s="7"/>
      <c r="L437" s="7"/>
      <c r="M437" s="7"/>
      <c r="N437" s="7"/>
      <c r="O437" s="5" t="s">
        <v>405</v>
      </c>
      <c r="P437" s="45">
        <v>13.64</v>
      </c>
      <c r="Q437" s="47">
        <f t="shared" si="6"/>
        <v>14.510638472</v>
      </c>
      <c r="R437" s="4">
        <v>180</v>
      </c>
      <c r="S437" s="4">
        <v>12</v>
      </c>
    </row>
    <row r="438" spans="2:19" ht="11.25" x14ac:dyDescent="0.15">
      <c r="B438" s="3">
        <v>4218991</v>
      </c>
      <c r="C438" s="4">
        <v>427</v>
      </c>
      <c r="D438" s="6" t="s">
        <v>1258</v>
      </c>
      <c r="E438" s="7" t="s">
        <v>408</v>
      </c>
      <c r="F438" s="7"/>
      <c r="G438" s="7"/>
      <c r="H438" s="7"/>
      <c r="I438" s="7"/>
      <c r="J438" s="7"/>
      <c r="K438" s="7"/>
      <c r="L438" s="7"/>
      <c r="M438" s="7"/>
      <c r="N438" s="7"/>
      <c r="O438" s="5" t="s">
        <v>407</v>
      </c>
      <c r="P438" s="45">
        <v>10.24</v>
      </c>
      <c r="Q438" s="47">
        <f t="shared" si="6"/>
        <v>10.893617151999999</v>
      </c>
      <c r="R438" s="4">
        <v>180</v>
      </c>
      <c r="S438" s="4">
        <v>12</v>
      </c>
    </row>
    <row r="439" spans="2:19" ht="11.25" x14ac:dyDescent="0.15">
      <c r="B439" s="3">
        <v>4218992</v>
      </c>
      <c r="C439" s="4">
        <v>428</v>
      </c>
      <c r="D439" s="6" t="s">
        <v>1259</v>
      </c>
      <c r="E439" s="7" t="s">
        <v>410</v>
      </c>
      <c r="F439" s="7"/>
      <c r="G439" s="7"/>
      <c r="H439" s="7"/>
      <c r="I439" s="7"/>
      <c r="J439" s="7"/>
      <c r="K439" s="7"/>
      <c r="L439" s="7"/>
      <c r="M439" s="7"/>
      <c r="N439" s="7"/>
      <c r="O439" s="5" t="s">
        <v>409</v>
      </c>
      <c r="P439" s="45">
        <v>10.42</v>
      </c>
      <c r="Q439" s="47">
        <f t="shared" si="6"/>
        <v>11.085106516</v>
      </c>
      <c r="R439" s="4">
        <v>180</v>
      </c>
      <c r="S439" s="4">
        <v>12</v>
      </c>
    </row>
    <row r="440" spans="2:19" ht="11.25" x14ac:dyDescent="0.15">
      <c r="B440" s="3">
        <v>4218993</v>
      </c>
      <c r="C440" s="4">
        <v>429</v>
      </c>
      <c r="D440" s="6" t="s">
        <v>1260</v>
      </c>
      <c r="E440" s="7" t="s">
        <v>412</v>
      </c>
      <c r="F440" s="7"/>
      <c r="G440" s="7"/>
      <c r="H440" s="7"/>
      <c r="I440" s="7"/>
      <c r="J440" s="7"/>
      <c r="K440" s="7"/>
      <c r="L440" s="7"/>
      <c r="M440" s="7"/>
      <c r="N440" s="7"/>
      <c r="O440" s="5" t="s">
        <v>411</v>
      </c>
      <c r="P440" s="45">
        <v>12.11</v>
      </c>
      <c r="Q440" s="47">
        <f t="shared" si="6"/>
        <v>12.882978877999999</v>
      </c>
      <c r="R440" s="4">
        <v>180</v>
      </c>
      <c r="S440" s="4">
        <v>12</v>
      </c>
    </row>
    <row r="441" spans="2:19" ht="11.25" x14ac:dyDescent="0.15">
      <c r="B441" s="3">
        <v>4218994</v>
      </c>
      <c r="C441" s="4">
        <v>430</v>
      </c>
      <c r="D441" s="6" t="s">
        <v>1261</v>
      </c>
      <c r="E441" s="7" t="s">
        <v>414</v>
      </c>
      <c r="F441" s="7"/>
      <c r="G441" s="7"/>
      <c r="H441" s="7"/>
      <c r="I441" s="7"/>
      <c r="J441" s="7"/>
      <c r="K441" s="7"/>
      <c r="L441" s="7"/>
      <c r="M441" s="7"/>
      <c r="N441" s="7"/>
      <c r="O441" s="5" t="s">
        <v>413</v>
      </c>
      <c r="P441" s="45">
        <v>13.06</v>
      </c>
      <c r="Q441" s="47">
        <f t="shared" si="6"/>
        <v>13.893617188</v>
      </c>
      <c r="R441" s="4">
        <v>180</v>
      </c>
      <c r="S441" s="4">
        <v>12</v>
      </c>
    </row>
    <row r="442" spans="2:19" ht="11.25" x14ac:dyDescent="0.15">
      <c r="B442" s="3">
        <v>4218995</v>
      </c>
      <c r="C442" s="4">
        <v>431</v>
      </c>
      <c r="D442" s="6" t="s">
        <v>1262</v>
      </c>
      <c r="E442" s="7" t="s">
        <v>416</v>
      </c>
      <c r="F442" s="7"/>
      <c r="G442" s="7"/>
      <c r="H442" s="7"/>
      <c r="I442" s="7"/>
      <c r="J442" s="7"/>
      <c r="K442" s="7"/>
      <c r="L442" s="7"/>
      <c r="M442" s="7"/>
      <c r="N442" s="7"/>
      <c r="O442" s="5" t="s">
        <v>415</v>
      </c>
      <c r="P442" s="45">
        <v>20.29</v>
      </c>
      <c r="Q442" s="47">
        <f t="shared" si="6"/>
        <v>21.585106642</v>
      </c>
      <c r="R442" s="4">
        <v>180</v>
      </c>
      <c r="S442" s="4">
        <v>12</v>
      </c>
    </row>
    <row r="443" spans="2:19" ht="11.25" x14ac:dyDescent="0.15">
      <c r="B443" s="3">
        <v>4218996</v>
      </c>
      <c r="C443" s="4">
        <v>432</v>
      </c>
      <c r="D443" s="6" t="s">
        <v>1263</v>
      </c>
      <c r="E443" s="7" t="s">
        <v>418</v>
      </c>
      <c r="F443" s="7"/>
      <c r="G443" s="7"/>
      <c r="H443" s="7"/>
      <c r="I443" s="7"/>
      <c r="J443" s="7"/>
      <c r="K443" s="7"/>
      <c r="L443" s="7"/>
      <c r="M443" s="7"/>
      <c r="N443" s="7"/>
      <c r="O443" s="5" t="s">
        <v>417</v>
      </c>
      <c r="P443" s="45">
        <v>31.01</v>
      </c>
      <c r="Q443" s="47">
        <f t="shared" si="6"/>
        <v>32.989362098000001</v>
      </c>
      <c r="R443" s="4">
        <v>180</v>
      </c>
      <c r="S443" s="4">
        <v>12</v>
      </c>
    </row>
    <row r="444" spans="2:19" ht="11.25" x14ac:dyDescent="0.15">
      <c r="B444" s="3">
        <v>4218997</v>
      </c>
      <c r="C444" s="4">
        <v>433</v>
      </c>
      <c r="D444" s="6" t="s">
        <v>1264</v>
      </c>
      <c r="E444" s="7" t="s">
        <v>420</v>
      </c>
      <c r="F444" s="7"/>
      <c r="G444" s="7"/>
      <c r="H444" s="7"/>
      <c r="I444" s="7"/>
      <c r="J444" s="7"/>
      <c r="K444" s="7"/>
      <c r="L444" s="7"/>
      <c r="M444" s="7"/>
      <c r="N444" s="7"/>
      <c r="O444" s="5" t="s">
        <v>419</v>
      </c>
      <c r="P444" s="45">
        <v>23.57</v>
      </c>
      <c r="Q444" s="47">
        <f t="shared" si="6"/>
        <v>25.074468385999999</v>
      </c>
      <c r="R444" s="4">
        <v>180</v>
      </c>
      <c r="S444" s="4">
        <v>12</v>
      </c>
    </row>
    <row r="445" spans="2:19" ht="11.25" x14ac:dyDescent="0.15">
      <c r="B445" s="3">
        <v>4218998</v>
      </c>
      <c r="C445" s="4">
        <v>434</v>
      </c>
      <c r="D445" s="6" t="s">
        <v>1265</v>
      </c>
      <c r="E445" s="7" t="s">
        <v>422</v>
      </c>
      <c r="F445" s="7"/>
      <c r="G445" s="7"/>
      <c r="H445" s="7"/>
      <c r="I445" s="7"/>
      <c r="J445" s="7"/>
      <c r="K445" s="7"/>
      <c r="L445" s="7"/>
      <c r="M445" s="7"/>
      <c r="N445" s="7"/>
      <c r="O445" s="5" t="s">
        <v>421</v>
      </c>
      <c r="P445" s="45">
        <v>24.41</v>
      </c>
      <c r="Q445" s="47">
        <f t="shared" si="6"/>
        <v>25.968085417999998</v>
      </c>
      <c r="R445" s="4">
        <v>180</v>
      </c>
      <c r="S445" s="4">
        <v>12</v>
      </c>
    </row>
    <row r="446" spans="2:19" ht="11.25" x14ac:dyDescent="0.15">
      <c r="B446" s="3">
        <v>4218999</v>
      </c>
      <c r="C446" s="4">
        <v>435</v>
      </c>
      <c r="D446" s="6" t="s">
        <v>1266</v>
      </c>
      <c r="E446" s="7" t="s">
        <v>424</v>
      </c>
      <c r="F446" s="7"/>
      <c r="G446" s="7"/>
      <c r="H446" s="7"/>
      <c r="I446" s="7"/>
      <c r="J446" s="7"/>
      <c r="K446" s="7"/>
      <c r="L446" s="7"/>
      <c r="M446" s="7"/>
      <c r="N446" s="7"/>
      <c r="O446" s="5" t="s">
        <v>423</v>
      </c>
      <c r="P446" s="45">
        <v>130.01</v>
      </c>
      <c r="Q446" s="47">
        <f t="shared" si="6"/>
        <v>138.30851229799998</v>
      </c>
      <c r="R446" s="4">
        <v>180</v>
      </c>
      <c r="S446" s="4">
        <v>12</v>
      </c>
    </row>
    <row r="447" spans="2:19" ht="11.25" x14ac:dyDescent="0.15">
      <c r="B447" s="3">
        <v>4219000</v>
      </c>
      <c r="C447" s="4">
        <v>436</v>
      </c>
      <c r="D447" s="6" t="s">
        <v>1267</v>
      </c>
      <c r="E447" s="7" t="s">
        <v>426</v>
      </c>
      <c r="F447" s="7"/>
      <c r="G447" s="7"/>
      <c r="H447" s="7"/>
      <c r="I447" s="7"/>
      <c r="J447" s="7"/>
      <c r="K447" s="7"/>
      <c r="L447" s="7"/>
      <c r="M447" s="7"/>
      <c r="N447" s="7"/>
      <c r="O447" s="5" t="s">
        <v>425</v>
      </c>
      <c r="P447" s="45">
        <v>130.01</v>
      </c>
      <c r="Q447" s="47">
        <f t="shared" si="6"/>
        <v>138.30851229799998</v>
      </c>
      <c r="R447" s="4">
        <v>180</v>
      </c>
      <c r="S447" s="4">
        <v>12</v>
      </c>
    </row>
    <row r="448" spans="2:19" ht="11.25" x14ac:dyDescent="0.15">
      <c r="B448" s="3">
        <v>4219001</v>
      </c>
      <c r="C448" s="4">
        <v>437</v>
      </c>
      <c r="D448" s="6" t="s">
        <v>1268</v>
      </c>
      <c r="E448" s="7" t="s">
        <v>428</v>
      </c>
      <c r="F448" s="7"/>
      <c r="G448" s="7"/>
      <c r="H448" s="7"/>
      <c r="I448" s="7"/>
      <c r="J448" s="7"/>
      <c r="K448" s="7"/>
      <c r="L448" s="7"/>
      <c r="M448" s="7"/>
      <c r="N448" s="7"/>
      <c r="O448" s="5" t="s">
        <v>427</v>
      </c>
      <c r="P448" s="45">
        <v>198.79</v>
      </c>
      <c r="Q448" s="47">
        <f t="shared" si="6"/>
        <v>211.47872594199998</v>
      </c>
      <c r="R448" s="4">
        <v>180</v>
      </c>
      <c r="S448" s="4">
        <v>12</v>
      </c>
    </row>
    <row r="449" spans="2:19" ht="11.25" x14ac:dyDescent="0.15">
      <c r="B449" s="3">
        <v>4219002</v>
      </c>
      <c r="C449" s="4">
        <v>438</v>
      </c>
      <c r="D449" s="6" t="s">
        <v>1269</v>
      </c>
      <c r="E449" s="7" t="s">
        <v>424</v>
      </c>
      <c r="F449" s="7"/>
      <c r="G449" s="7"/>
      <c r="H449" s="7"/>
      <c r="I449" s="7"/>
      <c r="J449" s="7"/>
      <c r="K449" s="7"/>
      <c r="L449" s="7"/>
      <c r="M449" s="7"/>
      <c r="N449" s="7"/>
      <c r="O449" s="5" t="s">
        <v>429</v>
      </c>
      <c r="P449" s="45">
        <v>130.01</v>
      </c>
      <c r="Q449" s="47">
        <f t="shared" si="6"/>
        <v>138.30851229799998</v>
      </c>
      <c r="R449" s="4">
        <v>180</v>
      </c>
      <c r="S449" s="4">
        <v>12</v>
      </c>
    </row>
    <row r="450" spans="2:19" ht="11.25" x14ac:dyDescent="0.15">
      <c r="B450" s="3">
        <v>4219003</v>
      </c>
      <c r="C450" s="4">
        <v>439</v>
      </c>
      <c r="D450" s="6" t="s">
        <v>1270</v>
      </c>
      <c r="E450" s="7" t="s">
        <v>426</v>
      </c>
      <c r="F450" s="7"/>
      <c r="G450" s="7"/>
      <c r="H450" s="7"/>
      <c r="I450" s="7"/>
      <c r="J450" s="7"/>
      <c r="K450" s="7"/>
      <c r="L450" s="7"/>
      <c r="M450" s="7"/>
      <c r="N450" s="7"/>
      <c r="O450" s="5" t="s">
        <v>430</v>
      </c>
      <c r="P450" s="45">
        <v>130.01</v>
      </c>
      <c r="Q450" s="47">
        <f t="shared" si="6"/>
        <v>138.30851229799998</v>
      </c>
      <c r="R450" s="4">
        <v>180</v>
      </c>
      <c r="S450" s="4">
        <v>12</v>
      </c>
    </row>
    <row r="451" spans="2:19" ht="11.25" x14ac:dyDescent="0.15">
      <c r="B451" s="3">
        <v>4219004</v>
      </c>
      <c r="C451" s="4">
        <v>440</v>
      </c>
      <c r="D451" s="6" t="s">
        <v>1271</v>
      </c>
      <c r="E451" s="7" t="s">
        <v>428</v>
      </c>
      <c r="F451" s="7"/>
      <c r="G451" s="7"/>
      <c r="H451" s="7"/>
      <c r="I451" s="7"/>
      <c r="J451" s="7"/>
      <c r="K451" s="7"/>
      <c r="L451" s="7"/>
      <c r="M451" s="7"/>
      <c r="N451" s="7"/>
      <c r="O451" s="5" t="s">
        <v>431</v>
      </c>
      <c r="P451" s="45">
        <v>198.79</v>
      </c>
      <c r="Q451" s="47">
        <f t="shared" si="6"/>
        <v>211.47872594199998</v>
      </c>
      <c r="R451" s="4">
        <v>180</v>
      </c>
      <c r="S451" s="4">
        <v>12</v>
      </c>
    </row>
    <row r="452" spans="2:19" ht="11.25" x14ac:dyDescent="0.15">
      <c r="B452" s="3">
        <v>4219005</v>
      </c>
      <c r="C452" s="4">
        <v>441</v>
      </c>
      <c r="D452" s="6" t="s">
        <v>1272</v>
      </c>
      <c r="E452" s="7" t="s">
        <v>433</v>
      </c>
      <c r="F452" s="7"/>
      <c r="G452" s="7"/>
      <c r="H452" s="7"/>
      <c r="I452" s="7"/>
      <c r="J452" s="7"/>
      <c r="K452" s="7"/>
      <c r="L452" s="7"/>
      <c r="M452" s="7"/>
      <c r="N452" s="7"/>
      <c r="O452" s="5" t="s">
        <v>432</v>
      </c>
      <c r="P452" s="45">
        <v>20.29</v>
      </c>
      <c r="Q452" s="47">
        <f t="shared" si="6"/>
        <v>21.585106642</v>
      </c>
      <c r="R452" s="4">
        <v>180</v>
      </c>
      <c r="S452" s="4">
        <v>12</v>
      </c>
    </row>
    <row r="453" spans="2:19" ht="11.25" x14ac:dyDescent="0.15">
      <c r="B453" s="3">
        <v>4219006</v>
      </c>
      <c r="C453" s="4">
        <v>442</v>
      </c>
      <c r="D453" s="6" t="s">
        <v>1273</v>
      </c>
      <c r="E453" s="7" t="s">
        <v>435</v>
      </c>
      <c r="F453" s="7"/>
      <c r="G453" s="7"/>
      <c r="H453" s="7"/>
      <c r="I453" s="7"/>
      <c r="J453" s="7"/>
      <c r="K453" s="7"/>
      <c r="L453" s="7"/>
      <c r="M453" s="7"/>
      <c r="N453" s="7"/>
      <c r="O453" s="5" t="s">
        <v>434</v>
      </c>
      <c r="P453" s="45">
        <v>98.58</v>
      </c>
      <c r="Q453" s="47">
        <f t="shared" si="6"/>
        <v>104.87234168399999</v>
      </c>
      <c r="R453" s="4">
        <v>180</v>
      </c>
      <c r="S453" s="4">
        <v>12</v>
      </c>
    </row>
    <row r="454" spans="2:19" ht="11.25" x14ac:dyDescent="0.15">
      <c r="B454" s="3">
        <v>4219007</v>
      </c>
      <c r="C454" s="4">
        <v>443</v>
      </c>
      <c r="D454" s="6" t="s">
        <v>1274</v>
      </c>
      <c r="E454" s="7" t="s">
        <v>435</v>
      </c>
      <c r="F454" s="7"/>
      <c r="G454" s="7"/>
      <c r="H454" s="7"/>
      <c r="I454" s="7"/>
      <c r="J454" s="7"/>
      <c r="K454" s="7"/>
      <c r="L454" s="7"/>
      <c r="M454" s="7"/>
      <c r="N454" s="7"/>
      <c r="O454" s="5" t="s">
        <v>436</v>
      </c>
      <c r="P454" s="45">
        <v>98.58</v>
      </c>
      <c r="Q454" s="47">
        <f t="shared" si="6"/>
        <v>104.87234168399999</v>
      </c>
      <c r="R454" s="4">
        <v>180</v>
      </c>
      <c r="S454" s="4">
        <v>12</v>
      </c>
    </row>
    <row r="455" spans="2:19" ht="11.25" x14ac:dyDescent="0.15">
      <c r="B455" s="3">
        <v>4219008</v>
      </c>
      <c r="C455" s="4">
        <v>444</v>
      </c>
      <c r="D455" s="6" t="s">
        <v>1275</v>
      </c>
      <c r="E455" s="7" t="s">
        <v>438</v>
      </c>
      <c r="F455" s="7"/>
      <c r="G455" s="7"/>
      <c r="H455" s="7"/>
      <c r="I455" s="7"/>
      <c r="J455" s="7"/>
      <c r="K455" s="7"/>
      <c r="L455" s="7"/>
      <c r="M455" s="7"/>
      <c r="N455" s="7"/>
      <c r="O455" s="5" t="s">
        <v>437</v>
      </c>
      <c r="P455" s="45">
        <v>111.43</v>
      </c>
      <c r="Q455" s="47">
        <f t="shared" si="6"/>
        <v>118.542554614</v>
      </c>
      <c r="R455" s="4">
        <v>180</v>
      </c>
      <c r="S455" s="4">
        <v>12</v>
      </c>
    </row>
    <row r="456" spans="2:19" ht="11.25" x14ac:dyDescent="0.15">
      <c r="B456" s="3">
        <v>4219009</v>
      </c>
      <c r="C456" s="4">
        <v>445</v>
      </c>
      <c r="D456" s="6" t="s">
        <v>1276</v>
      </c>
      <c r="E456" s="7" t="s">
        <v>440</v>
      </c>
      <c r="F456" s="7"/>
      <c r="G456" s="7"/>
      <c r="H456" s="7"/>
      <c r="I456" s="7"/>
      <c r="J456" s="7"/>
      <c r="K456" s="7"/>
      <c r="L456" s="7"/>
      <c r="M456" s="7"/>
      <c r="N456" s="7"/>
      <c r="O456" s="5" t="s">
        <v>439</v>
      </c>
      <c r="P456" s="45">
        <v>111.43</v>
      </c>
      <c r="Q456" s="47">
        <f t="shared" si="6"/>
        <v>118.542554614</v>
      </c>
      <c r="R456" s="4">
        <v>180</v>
      </c>
      <c r="S456" s="4">
        <v>12</v>
      </c>
    </row>
    <row r="457" spans="2:19" ht="11.25" x14ac:dyDescent="0.15">
      <c r="B457" s="3">
        <v>4219010</v>
      </c>
      <c r="C457" s="4">
        <v>446</v>
      </c>
      <c r="D457" s="6" t="s">
        <v>1277</v>
      </c>
      <c r="E457" s="7" t="s">
        <v>442</v>
      </c>
      <c r="F457" s="7"/>
      <c r="G457" s="7"/>
      <c r="H457" s="7"/>
      <c r="I457" s="7"/>
      <c r="J457" s="7"/>
      <c r="K457" s="7"/>
      <c r="L457" s="7"/>
      <c r="M457" s="7"/>
      <c r="N457" s="7"/>
      <c r="O457" s="5" t="s">
        <v>441</v>
      </c>
      <c r="P457" s="45">
        <v>140.32</v>
      </c>
      <c r="Q457" s="47">
        <f t="shared" si="6"/>
        <v>149.276597536</v>
      </c>
      <c r="R457" s="4">
        <v>180</v>
      </c>
      <c r="S457" s="4">
        <v>12</v>
      </c>
    </row>
    <row r="458" spans="2:19" ht="11.25" x14ac:dyDescent="0.15">
      <c r="B458" s="3">
        <v>4219011</v>
      </c>
      <c r="C458" s="4">
        <v>447</v>
      </c>
      <c r="D458" s="6" t="s">
        <v>1278</v>
      </c>
      <c r="E458" s="7" t="s">
        <v>444</v>
      </c>
      <c r="F458" s="7"/>
      <c r="G458" s="7"/>
      <c r="H458" s="7"/>
      <c r="I458" s="7"/>
      <c r="J458" s="7"/>
      <c r="K458" s="7"/>
      <c r="L458" s="7"/>
      <c r="M458" s="7"/>
      <c r="N458" s="7"/>
      <c r="O458" s="5" t="s">
        <v>443</v>
      </c>
      <c r="P458" s="45">
        <v>14.37</v>
      </c>
      <c r="Q458" s="47">
        <f t="shared" si="6"/>
        <v>15.287234225999999</v>
      </c>
      <c r="R458" s="4">
        <v>180</v>
      </c>
      <c r="S458" s="4">
        <v>12</v>
      </c>
    </row>
    <row r="459" spans="2:19" ht="11.25" x14ac:dyDescent="0.15">
      <c r="B459" s="3">
        <v>4219012</v>
      </c>
      <c r="C459" s="4">
        <v>448</v>
      </c>
      <c r="D459" s="6" t="s">
        <v>1279</v>
      </c>
      <c r="E459" s="7" t="s">
        <v>446</v>
      </c>
      <c r="F459" s="7"/>
      <c r="G459" s="7"/>
      <c r="H459" s="7"/>
      <c r="I459" s="7"/>
      <c r="J459" s="7"/>
      <c r="K459" s="7"/>
      <c r="L459" s="7"/>
      <c r="M459" s="7"/>
      <c r="N459" s="7"/>
      <c r="O459" s="5" t="s">
        <v>445</v>
      </c>
      <c r="P459" s="45">
        <v>30.68</v>
      </c>
      <c r="Q459" s="47">
        <f t="shared" si="6"/>
        <v>32.638298263999999</v>
      </c>
      <c r="R459" s="4">
        <v>180</v>
      </c>
      <c r="S459" s="4">
        <v>12</v>
      </c>
    </row>
    <row r="460" spans="2:19" ht="11.25" x14ac:dyDescent="0.15">
      <c r="B460" s="3">
        <v>4219013</v>
      </c>
      <c r="C460" s="4">
        <v>449</v>
      </c>
      <c r="D460" s="6" t="s">
        <v>1280</v>
      </c>
      <c r="E460" s="7" t="s">
        <v>448</v>
      </c>
      <c r="F460" s="7"/>
      <c r="G460" s="7"/>
      <c r="H460" s="7"/>
      <c r="I460" s="7"/>
      <c r="J460" s="7"/>
      <c r="K460" s="7"/>
      <c r="L460" s="7"/>
      <c r="M460" s="7"/>
      <c r="N460" s="7"/>
      <c r="O460" s="5" t="s">
        <v>447</v>
      </c>
      <c r="P460" s="45">
        <v>16.28</v>
      </c>
      <c r="Q460" s="47">
        <f t="shared" si="6"/>
        <v>17.319149144000001</v>
      </c>
      <c r="R460" s="4">
        <v>180</v>
      </c>
      <c r="S460" s="4">
        <v>12</v>
      </c>
    </row>
    <row r="461" spans="2:19" ht="11.25" x14ac:dyDescent="0.15">
      <c r="B461" s="3">
        <v>4219014</v>
      </c>
      <c r="C461" s="4">
        <v>450</v>
      </c>
      <c r="D461" s="6" t="s">
        <v>1281</v>
      </c>
      <c r="E461" s="7" t="s">
        <v>446</v>
      </c>
      <c r="F461" s="7"/>
      <c r="G461" s="7"/>
      <c r="H461" s="7"/>
      <c r="I461" s="7"/>
      <c r="J461" s="7"/>
      <c r="K461" s="7"/>
      <c r="L461" s="7"/>
      <c r="M461" s="7"/>
      <c r="N461" s="7"/>
      <c r="O461" s="5" t="s">
        <v>449</v>
      </c>
      <c r="P461" s="45">
        <v>30.68</v>
      </c>
      <c r="Q461" s="47">
        <f t="shared" si="6"/>
        <v>32.638298263999999</v>
      </c>
      <c r="R461" s="4">
        <v>180</v>
      </c>
      <c r="S461" s="4">
        <v>12</v>
      </c>
    </row>
    <row r="462" spans="2:19" ht="11.25" x14ac:dyDescent="0.15">
      <c r="B462" s="3">
        <v>4219015</v>
      </c>
      <c r="C462" s="4">
        <v>451</v>
      </c>
      <c r="D462" s="6" t="s">
        <v>1282</v>
      </c>
      <c r="E462" s="7" t="s">
        <v>451</v>
      </c>
      <c r="F462" s="7"/>
      <c r="G462" s="7"/>
      <c r="H462" s="7"/>
      <c r="I462" s="7"/>
      <c r="J462" s="7"/>
      <c r="K462" s="7"/>
      <c r="L462" s="7"/>
      <c r="M462" s="7"/>
      <c r="N462" s="7"/>
      <c r="O462" s="5" t="s">
        <v>450</v>
      </c>
      <c r="P462" s="45">
        <v>20.8</v>
      </c>
      <c r="Q462" s="47">
        <f t="shared" si="6"/>
        <v>22.12765984</v>
      </c>
      <c r="R462" s="4">
        <v>180</v>
      </c>
      <c r="S462" s="4">
        <v>12</v>
      </c>
    </row>
    <row r="463" spans="2:19" ht="11.25" x14ac:dyDescent="0.15">
      <c r="B463" s="3">
        <v>4219016</v>
      </c>
      <c r="C463" s="4">
        <v>452</v>
      </c>
      <c r="D463" s="6" t="s">
        <v>1283</v>
      </c>
      <c r="E463" s="7" t="s">
        <v>453</v>
      </c>
      <c r="F463" s="7"/>
      <c r="G463" s="7"/>
      <c r="H463" s="7"/>
      <c r="I463" s="7"/>
      <c r="J463" s="7"/>
      <c r="K463" s="7"/>
      <c r="L463" s="7"/>
      <c r="M463" s="7"/>
      <c r="N463" s="7"/>
      <c r="O463" s="5" t="s">
        <v>452</v>
      </c>
      <c r="P463" s="45">
        <v>299</v>
      </c>
      <c r="Q463" s="47">
        <f t="shared" si="6"/>
        <v>318.08511019999997</v>
      </c>
      <c r="R463" s="4">
        <v>180</v>
      </c>
      <c r="S463" s="4">
        <v>12</v>
      </c>
    </row>
    <row r="464" spans="2:19" ht="11.25" x14ac:dyDescent="0.15">
      <c r="B464" s="3">
        <v>4219017</v>
      </c>
      <c r="C464" s="4">
        <v>453</v>
      </c>
      <c r="D464" s="6" t="s">
        <v>1284</v>
      </c>
      <c r="E464" s="7" t="s">
        <v>455</v>
      </c>
      <c r="F464" s="7"/>
      <c r="G464" s="7"/>
      <c r="H464" s="7"/>
      <c r="I464" s="7"/>
      <c r="J464" s="7"/>
      <c r="K464" s="7"/>
      <c r="L464" s="7"/>
      <c r="M464" s="7"/>
      <c r="N464" s="7"/>
      <c r="O464" s="5" t="s">
        <v>454</v>
      </c>
      <c r="P464" s="45">
        <v>162.01</v>
      </c>
      <c r="Q464" s="47">
        <f t="shared" ref="Q464:Q527" si="7">P464*1.0638298</f>
        <v>172.35106589799997</v>
      </c>
      <c r="R464" s="4">
        <v>180</v>
      </c>
      <c r="S464" s="4">
        <v>12</v>
      </c>
    </row>
    <row r="465" spans="2:19" ht="11.25" x14ac:dyDescent="0.15">
      <c r="B465" s="3">
        <v>4219018</v>
      </c>
      <c r="C465" s="4">
        <v>454</v>
      </c>
      <c r="D465" s="6" t="s">
        <v>1285</v>
      </c>
      <c r="E465" s="7" t="s">
        <v>457</v>
      </c>
      <c r="F465" s="7"/>
      <c r="G465" s="7"/>
      <c r="H465" s="7"/>
      <c r="I465" s="7"/>
      <c r="J465" s="7"/>
      <c r="K465" s="7"/>
      <c r="L465" s="7"/>
      <c r="M465" s="7"/>
      <c r="N465" s="7"/>
      <c r="O465" s="5" t="s">
        <v>456</v>
      </c>
      <c r="P465" s="45">
        <v>109.37</v>
      </c>
      <c r="Q465" s="47">
        <f t="shared" si="7"/>
        <v>116.351065226</v>
      </c>
      <c r="R465" s="4">
        <v>180</v>
      </c>
      <c r="S465" s="4">
        <v>12</v>
      </c>
    </row>
    <row r="466" spans="2:19" ht="11.25" x14ac:dyDescent="0.15">
      <c r="B466" s="3">
        <v>4219019</v>
      </c>
      <c r="C466" s="4">
        <v>455</v>
      </c>
      <c r="D466" s="6" t="s">
        <v>1286</v>
      </c>
      <c r="E466" s="7" t="s">
        <v>459</v>
      </c>
      <c r="F466" s="7"/>
      <c r="G466" s="7"/>
      <c r="H466" s="7"/>
      <c r="I466" s="7"/>
      <c r="J466" s="7"/>
      <c r="K466" s="7"/>
      <c r="L466" s="7"/>
      <c r="M466" s="7"/>
      <c r="N466" s="7"/>
      <c r="O466" s="5" t="s">
        <v>458</v>
      </c>
      <c r="P466" s="45">
        <v>111.43</v>
      </c>
      <c r="Q466" s="47">
        <f t="shared" si="7"/>
        <v>118.542554614</v>
      </c>
      <c r="R466" s="4">
        <v>180</v>
      </c>
      <c r="S466" s="4">
        <v>12</v>
      </c>
    </row>
    <row r="467" spans="2:19" ht="11.25" x14ac:dyDescent="0.15">
      <c r="B467" s="3">
        <v>4219020</v>
      </c>
      <c r="C467" s="4">
        <v>456</v>
      </c>
      <c r="D467" s="6" t="s">
        <v>1287</v>
      </c>
      <c r="E467" s="7" t="s">
        <v>461</v>
      </c>
      <c r="F467" s="7"/>
      <c r="G467" s="7"/>
      <c r="H467" s="7"/>
      <c r="I467" s="7"/>
      <c r="J467" s="7"/>
      <c r="K467" s="7"/>
      <c r="L467" s="7"/>
      <c r="M467" s="7"/>
      <c r="N467" s="7"/>
      <c r="O467" s="5" t="s">
        <v>460</v>
      </c>
      <c r="P467" s="45">
        <v>40.58</v>
      </c>
      <c r="Q467" s="47">
        <f t="shared" si="7"/>
        <v>43.170213283999999</v>
      </c>
      <c r="R467" s="4">
        <v>180</v>
      </c>
      <c r="S467" s="4">
        <v>12</v>
      </c>
    </row>
    <row r="468" spans="2:19" ht="11.25" x14ac:dyDescent="0.15">
      <c r="B468" s="3">
        <v>4219021</v>
      </c>
      <c r="C468" s="4">
        <v>457</v>
      </c>
      <c r="D468" s="6" t="s">
        <v>1288</v>
      </c>
      <c r="E468" s="7" t="s">
        <v>463</v>
      </c>
      <c r="F468" s="7"/>
      <c r="G468" s="7"/>
      <c r="H468" s="7"/>
      <c r="I468" s="7"/>
      <c r="J468" s="7"/>
      <c r="K468" s="7"/>
      <c r="L468" s="7"/>
      <c r="M468" s="7"/>
      <c r="N468" s="7"/>
      <c r="O468" s="5" t="s">
        <v>462</v>
      </c>
      <c r="P468" s="45">
        <v>38.28</v>
      </c>
      <c r="Q468" s="47">
        <f t="shared" si="7"/>
        <v>40.723404744</v>
      </c>
      <c r="R468" s="4">
        <v>180</v>
      </c>
      <c r="S468" s="4">
        <v>12</v>
      </c>
    </row>
    <row r="469" spans="2:19" ht="11.25" x14ac:dyDescent="0.15">
      <c r="B469" s="3">
        <v>4219022</v>
      </c>
      <c r="C469" s="4">
        <v>458</v>
      </c>
      <c r="D469" s="6" t="s">
        <v>1289</v>
      </c>
      <c r="E469" s="7" t="s">
        <v>465</v>
      </c>
      <c r="F469" s="7"/>
      <c r="G469" s="7"/>
      <c r="H469" s="7"/>
      <c r="I469" s="7"/>
      <c r="J469" s="7"/>
      <c r="K469" s="7"/>
      <c r="L469" s="7"/>
      <c r="M469" s="7"/>
      <c r="N469" s="7"/>
      <c r="O469" s="5" t="s">
        <v>464</v>
      </c>
      <c r="P469" s="45">
        <v>65.900000000000006</v>
      </c>
      <c r="Q469" s="47">
        <f t="shared" si="7"/>
        <v>70.106383820000005</v>
      </c>
      <c r="R469" s="4">
        <v>180</v>
      </c>
      <c r="S469" s="4">
        <v>12</v>
      </c>
    </row>
    <row r="470" spans="2:19" ht="11.25" x14ac:dyDescent="0.15">
      <c r="B470" s="3">
        <v>4219023</v>
      </c>
      <c r="C470" s="4">
        <v>459</v>
      </c>
      <c r="D470" s="6" t="s">
        <v>1290</v>
      </c>
      <c r="E470" s="7" t="s">
        <v>467</v>
      </c>
      <c r="F470" s="7"/>
      <c r="G470" s="7"/>
      <c r="H470" s="7"/>
      <c r="I470" s="7"/>
      <c r="J470" s="7"/>
      <c r="K470" s="7"/>
      <c r="L470" s="7"/>
      <c r="M470" s="7"/>
      <c r="N470" s="7"/>
      <c r="O470" s="5" t="s">
        <v>466</v>
      </c>
      <c r="P470" s="45">
        <v>49.21</v>
      </c>
      <c r="Q470" s="47">
        <f t="shared" si="7"/>
        <v>52.351064457999996</v>
      </c>
      <c r="R470" s="4">
        <v>180</v>
      </c>
      <c r="S470" s="4">
        <v>12</v>
      </c>
    </row>
    <row r="471" spans="2:19" ht="11.25" x14ac:dyDescent="0.15">
      <c r="B471" s="3">
        <v>4219024</v>
      </c>
      <c r="C471" s="4">
        <v>460</v>
      </c>
      <c r="D471" s="6" t="s">
        <v>1291</v>
      </c>
      <c r="E471" s="7" t="s">
        <v>469</v>
      </c>
      <c r="F471" s="7"/>
      <c r="G471" s="7"/>
      <c r="H471" s="7"/>
      <c r="I471" s="7"/>
      <c r="J471" s="7"/>
      <c r="K471" s="7"/>
      <c r="L471" s="7"/>
      <c r="M471" s="7"/>
      <c r="N471" s="7"/>
      <c r="O471" s="5" t="s">
        <v>468</v>
      </c>
      <c r="P471" s="45">
        <v>49.21</v>
      </c>
      <c r="Q471" s="47">
        <f t="shared" si="7"/>
        <v>52.351064457999996</v>
      </c>
      <c r="R471" s="4">
        <v>180</v>
      </c>
      <c r="S471" s="4">
        <v>12</v>
      </c>
    </row>
    <row r="472" spans="2:19" ht="11.25" x14ac:dyDescent="0.15">
      <c r="B472" s="3">
        <v>4219025</v>
      </c>
      <c r="C472" s="4">
        <v>461</v>
      </c>
      <c r="D472" s="6" t="s">
        <v>1292</v>
      </c>
      <c r="E472" s="7" t="s">
        <v>471</v>
      </c>
      <c r="F472" s="7"/>
      <c r="G472" s="7"/>
      <c r="H472" s="7"/>
      <c r="I472" s="7"/>
      <c r="J472" s="7"/>
      <c r="K472" s="7"/>
      <c r="L472" s="7"/>
      <c r="M472" s="7"/>
      <c r="N472" s="7"/>
      <c r="O472" s="5" t="s">
        <v>470</v>
      </c>
      <c r="P472" s="45">
        <v>60.28</v>
      </c>
      <c r="Q472" s="47">
        <f t="shared" si="7"/>
        <v>64.127660343999992</v>
      </c>
      <c r="R472" s="4">
        <v>180</v>
      </c>
      <c r="S472" s="4">
        <v>12</v>
      </c>
    </row>
    <row r="473" spans="2:19" ht="11.25" x14ac:dyDescent="0.15">
      <c r="B473" s="3">
        <v>4219026</v>
      </c>
      <c r="C473" s="4">
        <v>462</v>
      </c>
      <c r="D473" s="6" t="s">
        <v>1293</v>
      </c>
      <c r="E473" s="7" t="s">
        <v>473</v>
      </c>
      <c r="F473" s="7"/>
      <c r="G473" s="7"/>
      <c r="H473" s="7"/>
      <c r="I473" s="7"/>
      <c r="J473" s="7"/>
      <c r="K473" s="7"/>
      <c r="L473" s="7"/>
      <c r="M473" s="7"/>
      <c r="N473" s="7"/>
      <c r="O473" s="5" t="s">
        <v>472</v>
      </c>
      <c r="P473" s="45">
        <v>74.64</v>
      </c>
      <c r="Q473" s="47">
        <f t="shared" si="7"/>
        <v>79.404256271999998</v>
      </c>
      <c r="R473" s="4">
        <v>180</v>
      </c>
      <c r="S473" s="4">
        <v>12</v>
      </c>
    </row>
    <row r="474" spans="2:19" ht="11.25" x14ac:dyDescent="0.15">
      <c r="B474" s="3">
        <v>4219027</v>
      </c>
      <c r="C474" s="4">
        <v>463</v>
      </c>
      <c r="D474" s="6" t="s">
        <v>1294</v>
      </c>
      <c r="E474" s="7" t="s">
        <v>463</v>
      </c>
      <c r="F474" s="7"/>
      <c r="G474" s="7"/>
      <c r="H474" s="7"/>
      <c r="I474" s="7"/>
      <c r="J474" s="7"/>
      <c r="K474" s="7"/>
      <c r="L474" s="7"/>
      <c r="M474" s="7"/>
      <c r="N474" s="7"/>
      <c r="O474" s="5" t="s">
        <v>474</v>
      </c>
      <c r="P474" s="45">
        <v>40.58</v>
      </c>
      <c r="Q474" s="47">
        <f t="shared" si="7"/>
        <v>43.170213283999999</v>
      </c>
      <c r="R474" s="4">
        <v>180</v>
      </c>
      <c r="S474" s="4">
        <v>12</v>
      </c>
    </row>
    <row r="475" spans="2:19" ht="11.25" x14ac:dyDescent="0.15">
      <c r="B475" s="3">
        <v>4219028</v>
      </c>
      <c r="C475" s="4">
        <v>464</v>
      </c>
      <c r="D475" s="6" t="s">
        <v>1295</v>
      </c>
      <c r="E475" s="7" t="s">
        <v>476</v>
      </c>
      <c r="F475" s="7"/>
      <c r="G475" s="7"/>
      <c r="H475" s="7"/>
      <c r="I475" s="7"/>
      <c r="J475" s="7"/>
      <c r="K475" s="7"/>
      <c r="L475" s="7"/>
      <c r="M475" s="7"/>
      <c r="N475" s="7"/>
      <c r="O475" s="5" t="s">
        <v>475</v>
      </c>
      <c r="P475" s="45">
        <v>71.52</v>
      </c>
      <c r="Q475" s="47">
        <f t="shared" si="7"/>
        <v>76.08510729599999</v>
      </c>
      <c r="R475" s="4">
        <v>180</v>
      </c>
      <c r="S475" s="4">
        <v>12</v>
      </c>
    </row>
    <row r="476" spans="2:19" ht="11.25" x14ac:dyDescent="0.15">
      <c r="B476" s="3">
        <v>4219029</v>
      </c>
      <c r="C476" s="4">
        <v>465</v>
      </c>
      <c r="D476" s="6" t="s">
        <v>1296</v>
      </c>
      <c r="E476" s="7" t="s">
        <v>478</v>
      </c>
      <c r="F476" s="7"/>
      <c r="G476" s="7"/>
      <c r="H476" s="7"/>
      <c r="I476" s="7"/>
      <c r="J476" s="7"/>
      <c r="K476" s="7"/>
      <c r="L476" s="7"/>
      <c r="M476" s="7"/>
      <c r="N476" s="7"/>
      <c r="O476" s="5" t="s">
        <v>477</v>
      </c>
      <c r="P476" s="45">
        <v>163.38</v>
      </c>
      <c r="Q476" s="47">
        <f t="shared" si="7"/>
        <v>173.808512724</v>
      </c>
      <c r="R476" s="4">
        <v>180</v>
      </c>
      <c r="S476" s="4">
        <v>12</v>
      </c>
    </row>
    <row r="477" spans="2:19" ht="11.25" x14ac:dyDescent="0.15">
      <c r="B477" s="3">
        <v>4219030</v>
      </c>
      <c r="C477" s="4">
        <v>466</v>
      </c>
      <c r="D477" s="6" t="s">
        <v>1297</v>
      </c>
      <c r="E477" s="7" t="s">
        <v>480</v>
      </c>
      <c r="F477" s="7"/>
      <c r="G477" s="7"/>
      <c r="H477" s="7"/>
      <c r="I477" s="7"/>
      <c r="J477" s="7"/>
      <c r="K477" s="7"/>
      <c r="L477" s="7"/>
      <c r="M477" s="7"/>
      <c r="N477" s="7"/>
      <c r="O477" s="5" t="s">
        <v>479</v>
      </c>
      <c r="P477" s="45">
        <v>441.68</v>
      </c>
      <c r="Q477" s="47">
        <f t="shared" si="7"/>
        <v>469.872346064</v>
      </c>
      <c r="R477" s="4">
        <v>180</v>
      </c>
      <c r="S477" s="4">
        <v>12</v>
      </c>
    </row>
    <row r="478" spans="2:19" ht="11.25" x14ac:dyDescent="0.15">
      <c r="B478" s="3">
        <v>4219031</v>
      </c>
      <c r="C478" s="4">
        <v>467</v>
      </c>
      <c r="D478" s="6" t="s">
        <v>1298</v>
      </c>
      <c r="E478" s="7" t="s">
        <v>482</v>
      </c>
      <c r="F478" s="7"/>
      <c r="G478" s="7"/>
      <c r="H478" s="7"/>
      <c r="I478" s="7"/>
      <c r="J478" s="7"/>
      <c r="K478" s="7"/>
      <c r="L478" s="7"/>
      <c r="M478" s="7"/>
      <c r="N478" s="7"/>
      <c r="O478" s="5" t="s">
        <v>481</v>
      </c>
      <c r="P478" s="45">
        <v>6.8</v>
      </c>
      <c r="Q478" s="47">
        <f t="shared" si="7"/>
        <v>7.2340426399999993</v>
      </c>
      <c r="R478" s="4">
        <v>180</v>
      </c>
      <c r="S478" s="4">
        <v>12</v>
      </c>
    </row>
    <row r="479" spans="2:19" ht="11.25" x14ac:dyDescent="0.15">
      <c r="B479" s="3">
        <v>4219032</v>
      </c>
      <c r="C479" s="4">
        <v>468</v>
      </c>
      <c r="D479" s="6" t="s">
        <v>1299</v>
      </c>
      <c r="E479" s="7" t="s">
        <v>484</v>
      </c>
      <c r="F479" s="7"/>
      <c r="G479" s="7"/>
      <c r="H479" s="7"/>
      <c r="I479" s="7"/>
      <c r="J479" s="7"/>
      <c r="K479" s="7"/>
      <c r="L479" s="7"/>
      <c r="M479" s="7"/>
      <c r="N479" s="7"/>
      <c r="O479" s="5" t="s">
        <v>483</v>
      </c>
      <c r="P479" s="45">
        <v>24.6</v>
      </c>
      <c r="Q479" s="47">
        <f t="shared" si="7"/>
        <v>26.17021308</v>
      </c>
      <c r="R479" s="4">
        <v>180</v>
      </c>
      <c r="S479" s="4">
        <v>12</v>
      </c>
    </row>
    <row r="480" spans="2:19" ht="11.25" x14ac:dyDescent="0.15">
      <c r="B480" s="3">
        <v>4219033</v>
      </c>
      <c r="C480" s="4">
        <v>469</v>
      </c>
      <c r="D480" s="6" t="s">
        <v>1300</v>
      </c>
      <c r="E480" s="7" t="s">
        <v>486</v>
      </c>
      <c r="F480" s="7"/>
      <c r="G480" s="7"/>
      <c r="H480" s="7"/>
      <c r="I480" s="7"/>
      <c r="J480" s="7"/>
      <c r="K480" s="7"/>
      <c r="L480" s="7"/>
      <c r="M480" s="7"/>
      <c r="N480" s="7"/>
      <c r="O480" s="5" t="s">
        <v>485</v>
      </c>
      <c r="P480" s="45">
        <v>9.58</v>
      </c>
      <c r="Q480" s="47">
        <f t="shared" si="7"/>
        <v>10.191489484</v>
      </c>
      <c r="R480" s="4">
        <v>180</v>
      </c>
      <c r="S480" s="4">
        <v>12</v>
      </c>
    </row>
    <row r="481" spans="2:19" ht="11.25" x14ac:dyDescent="0.15">
      <c r="B481" s="3">
        <v>4219034</v>
      </c>
      <c r="C481" s="4">
        <v>470</v>
      </c>
      <c r="D481" s="6" t="s">
        <v>1301</v>
      </c>
      <c r="E481" s="7" t="s">
        <v>488</v>
      </c>
      <c r="F481" s="7"/>
      <c r="G481" s="7"/>
      <c r="H481" s="7"/>
      <c r="I481" s="7"/>
      <c r="J481" s="7"/>
      <c r="K481" s="7"/>
      <c r="L481" s="7"/>
      <c r="M481" s="7"/>
      <c r="N481" s="7"/>
      <c r="O481" s="5" t="s">
        <v>487</v>
      </c>
      <c r="P481" s="45">
        <v>3.91</v>
      </c>
      <c r="Q481" s="47">
        <f t="shared" si="7"/>
        <v>4.1595745180000003</v>
      </c>
      <c r="R481" s="4">
        <v>180</v>
      </c>
      <c r="S481" s="4">
        <v>12</v>
      </c>
    </row>
    <row r="482" spans="2:19" ht="11.25" x14ac:dyDescent="0.15">
      <c r="B482" s="3">
        <v>4219035</v>
      </c>
      <c r="C482" s="4">
        <v>471</v>
      </c>
      <c r="D482" s="6" t="s">
        <v>1302</v>
      </c>
      <c r="E482" s="7" t="s">
        <v>490</v>
      </c>
      <c r="F482" s="7"/>
      <c r="G482" s="7"/>
      <c r="H482" s="7"/>
      <c r="I482" s="7"/>
      <c r="J482" s="7"/>
      <c r="K482" s="7"/>
      <c r="L482" s="7"/>
      <c r="M482" s="7"/>
      <c r="N482" s="7"/>
      <c r="O482" s="5" t="s">
        <v>489</v>
      </c>
      <c r="P482" s="45">
        <v>6.22</v>
      </c>
      <c r="Q482" s="47">
        <f t="shared" si="7"/>
        <v>6.6170213559999995</v>
      </c>
      <c r="R482" s="4">
        <v>180</v>
      </c>
      <c r="S482" s="4">
        <v>12</v>
      </c>
    </row>
    <row r="483" spans="2:19" ht="11.25" x14ac:dyDescent="0.15">
      <c r="B483" s="3">
        <v>4219036</v>
      </c>
      <c r="C483" s="4">
        <v>472</v>
      </c>
      <c r="D483" s="6" t="s">
        <v>1303</v>
      </c>
      <c r="E483" s="7" t="s">
        <v>492</v>
      </c>
      <c r="F483" s="7"/>
      <c r="G483" s="7"/>
      <c r="H483" s="7"/>
      <c r="I483" s="7"/>
      <c r="J483" s="7"/>
      <c r="K483" s="7"/>
      <c r="L483" s="7"/>
      <c r="M483" s="7"/>
      <c r="N483" s="7"/>
      <c r="O483" s="5" t="s">
        <v>491</v>
      </c>
      <c r="P483" s="45">
        <v>12.3</v>
      </c>
      <c r="Q483" s="47">
        <f t="shared" si="7"/>
        <v>13.08510654</v>
      </c>
      <c r="R483" s="4">
        <v>180</v>
      </c>
      <c r="S483" s="4">
        <v>12</v>
      </c>
    </row>
    <row r="484" spans="2:19" ht="11.25" x14ac:dyDescent="0.15">
      <c r="B484" s="3">
        <v>4219037</v>
      </c>
      <c r="C484" s="4">
        <v>473</v>
      </c>
      <c r="D484" s="6" t="s">
        <v>1304</v>
      </c>
      <c r="E484" s="7" t="s">
        <v>494</v>
      </c>
      <c r="F484" s="7"/>
      <c r="G484" s="7"/>
      <c r="H484" s="7"/>
      <c r="I484" s="7"/>
      <c r="J484" s="7"/>
      <c r="K484" s="7"/>
      <c r="L484" s="7"/>
      <c r="M484" s="7"/>
      <c r="N484" s="7"/>
      <c r="O484" s="5" t="s">
        <v>493</v>
      </c>
      <c r="P484" s="45">
        <v>8.2200000000000006</v>
      </c>
      <c r="Q484" s="47">
        <f t="shared" si="7"/>
        <v>8.7446809559999998</v>
      </c>
      <c r="R484" s="4">
        <v>180</v>
      </c>
      <c r="S484" s="4">
        <v>12</v>
      </c>
    </row>
    <row r="485" spans="2:19" ht="11.25" x14ac:dyDescent="0.15">
      <c r="B485" s="3">
        <v>4219038</v>
      </c>
      <c r="C485" s="4">
        <v>474</v>
      </c>
      <c r="D485" s="6" t="s">
        <v>1305</v>
      </c>
      <c r="E485" s="7" t="s">
        <v>496</v>
      </c>
      <c r="F485" s="7"/>
      <c r="G485" s="7"/>
      <c r="H485" s="7"/>
      <c r="I485" s="7"/>
      <c r="J485" s="7"/>
      <c r="K485" s="7"/>
      <c r="L485" s="7"/>
      <c r="M485" s="7"/>
      <c r="N485" s="7"/>
      <c r="O485" s="5" t="s">
        <v>495</v>
      </c>
      <c r="P485" s="45">
        <v>7.67</v>
      </c>
      <c r="Q485" s="47">
        <f t="shared" si="7"/>
        <v>8.1595745659999999</v>
      </c>
      <c r="R485" s="4">
        <v>180</v>
      </c>
      <c r="S485" s="4">
        <v>12</v>
      </c>
    </row>
    <row r="486" spans="2:19" ht="11.25" x14ac:dyDescent="0.15">
      <c r="B486" s="3">
        <v>4219039</v>
      </c>
      <c r="C486" s="4">
        <v>475</v>
      </c>
      <c r="D486" s="6" t="s">
        <v>1306</v>
      </c>
      <c r="E486" s="7" t="s">
        <v>498</v>
      </c>
      <c r="F486" s="7"/>
      <c r="G486" s="7"/>
      <c r="H486" s="7"/>
      <c r="I486" s="7"/>
      <c r="J486" s="7"/>
      <c r="K486" s="7"/>
      <c r="L486" s="7"/>
      <c r="M486" s="7"/>
      <c r="N486" s="7"/>
      <c r="O486" s="5" t="s">
        <v>497</v>
      </c>
      <c r="P486" s="45">
        <v>6.57</v>
      </c>
      <c r="Q486" s="47">
        <f t="shared" si="7"/>
        <v>6.9893617859999999</v>
      </c>
      <c r="R486" s="4">
        <v>180</v>
      </c>
      <c r="S486" s="4">
        <v>12</v>
      </c>
    </row>
    <row r="487" spans="2:19" ht="11.25" x14ac:dyDescent="0.15">
      <c r="B487" s="3">
        <v>4219040</v>
      </c>
      <c r="C487" s="4">
        <v>476</v>
      </c>
      <c r="D487" s="6" t="s">
        <v>1307</v>
      </c>
      <c r="E487" s="7" t="s">
        <v>500</v>
      </c>
      <c r="F487" s="7"/>
      <c r="G487" s="7"/>
      <c r="H487" s="7"/>
      <c r="I487" s="7"/>
      <c r="J487" s="7"/>
      <c r="K487" s="7"/>
      <c r="L487" s="7"/>
      <c r="M487" s="7"/>
      <c r="N487" s="7"/>
      <c r="O487" s="5" t="s">
        <v>499</v>
      </c>
      <c r="P487" s="45">
        <v>6.57</v>
      </c>
      <c r="Q487" s="47">
        <f t="shared" si="7"/>
        <v>6.9893617859999999</v>
      </c>
      <c r="R487" s="4">
        <v>180</v>
      </c>
      <c r="S487" s="4">
        <v>12</v>
      </c>
    </row>
    <row r="488" spans="2:19" ht="11.25" x14ac:dyDescent="0.15">
      <c r="B488" s="3">
        <v>4219041</v>
      </c>
      <c r="C488" s="4">
        <v>477</v>
      </c>
      <c r="D488" s="6" t="s">
        <v>1308</v>
      </c>
      <c r="E488" s="7" t="s">
        <v>502</v>
      </c>
      <c r="F488" s="7"/>
      <c r="G488" s="7"/>
      <c r="H488" s="7"/>
      <c r="I488" s="7"/>
      <c r="J488" s="7"/>
      <c r="K488" s="7"/>
      <c r="L488" s="7"/>
      <c r="M488" s="7"/>
      <c r="N488" s="7"/>
      <c r="O488" s="5" t="s">
        <v>501</v>
      </c>
      <c r="P488" s="45">
        <v>1666.08</v>
      </c>
      <c r="Q488" s="47">
        <f t="shared" si="7"/>
        <v>1772.4255531839999</v>
      </c>
      <c r="R488" s="4">
        <v>180</v>
      </c>
      <c r="S488" s="4">
        <v>12</v>
      </c>
    </row>
    <row r="489" spans="2:19" ht="11.25" x14ac:dyDescent="0.15">
      <c r="B489" s="3">
        <v>4219042</v>
      </c>
      <c r="C489" s="4">
        <v>478</v>
      </c>
      <c r="D489" s="6" t="s">
        <v>1309</v>
      </c>
      <c r="E489" s="7" t="s">
        <v>504</v>
      </c>
      <c r="F489" s="7"/>
      <c r="G489" s="7"/>
      <c r="H489" s="7"/>
      <c r="I489" s="7"/>
      <c r="J489" s="7"/>
      <c r="K489" s="7"/>
      <c r="L489" s="7"/>
      <c r="M489" s="7"/>
      <c r="N489" s="7"/>
      <c r="O489" s="5" t="s">
        <v>503</v>
      </c>
      <c r="P489" s="45">
        <v>1356.05</v>
      </c>
      <c r="Q489" s="47">
        <f t="shared" si="7"/>
        <v>1442.6064002899998</v>
      </c>
      <c r="R489" s="4">
        <v>180</v>
      </c>
      <c r="S489" s="4">
        <v>12</v>
      </c>
    </row>
    <row r="490" spans="2:19" ht="11.25" x14ac:dyDescent="0.15">
      <c r="B490" s="3">
        <v>4219043</v>
      </c>
      <c r="C490" s="4">
        <v>479</v>
      </c>
      <c r="D490" s="6" t="s">
        <v>1310</v>
      </c>
      <c r="E490" s="7" t="s">
        <v>506</v>
      </c>
      <c r="F490" s="7"/>
      <c r="G490" s="7"/>
      <c r="H490" s="7"/>
      <c r="I490" s="7"/>
      <c r="J490" s="7"/>
      <c r="K490" s="7"/>
      <c r="L490" s="7"/>
      <c r="M490" s="7"/>
      <c r="N490" s="7"/>
      <c r="O490" s="5" t="s">
        <v>505</v>
      </c>
      <c r="P490" s="45">
        <v>147.9</v>
      </c>
      <c r="Q490" s="47">
        <f t="shared" si="7"/>
        <v>157.34042742</v>
      </c>
      <c r="R490" s="4">
        <v>180</v>
      </c>
      <c r="S490" s="4">
        <v>12</v>
      </c>
    </row>
    <row r="491" spans="2:19" ht="11.25" x14ac:dyDescent="0.15">
      <c r="B491" s="3">
        <v>4219044</v>
      </c>
      <c r="C491" s="4">
        <v>480</v>
      </c>
      <c r="D491" s="6" t="s">
        <v>1311</v>
      </c>
      <c r="E491" s="7" t="s">
        <v>508</v>
      </c>
      <c r="F491" s="7"/>
      <c r="G491" s="7"/>
      <c r="H491" s="7"/>
      <c r="I491" s="7"/>
      <c r="J491" s="7"/>
      <c r="K491" s="7"/>
      <c r="L491" s="7"/>
      <c r="M491" s="7"/>
      <c r="N491" s="7"/>
      <c r="O491" s="5" t="s">
        <v>507</v>
      </c>
      <c r="P491" s="45">
        <v>77.39</v>
      </c>
      <c r="Q491" s="47">
        <f t="shared" si="7"/>
        <v>82.329788221999991</v>
      </c>
      <c r="R491" s="4">
        <v>180</v>
      </c>
      <c r="S491" s="4">
        <v>12</v>
      </c>
    </row>
    <row r="492" spans="2:19" ht="11.25" x14ac:dyDescent="0.15">
      <c r="B492" s="3">
        <v>4219045</v>
      </c>
      <c r="C492" s="4">
        <v>481</v>
      </c>
      <c r="D492" s="6" t="s">
        <v>1312</v>
      </c>
      <c r="E492" s="7" t="s">
        <v>510</v>
      </c>
      <c r="F492" s="7"/>
      <c r="G492" s="7"/>
      <c r="H492" s="7"/>
      <c r="I492" s="7"/>
      <c r="J492" s="7"/>
      <c r="K492" s="7"/>
      <c r="L492" s="7"/>
      <c r="M492" s="7"/>
      <c r="N492" s="7"/>
      <c r="O492" s="5" t="s">
        <v>509</v>
      </c>
      <c r="P492" s="45">
        <v>247.56</v>
      </c>
      <c r="Q492" s="47">
        <f t="shared" si="7"/>
        <v>263.361705288</v>
      </c>
      <c r="R492" s="4">
        <v>180</v>
      </c>
      <c r="S492" s="4">
        <v>12</v>
      </c>
    </row>
    <row r="493" spans="2:19" ht="11.25" x14ac:dyDescent="0.15">
      <c r="B493" s="3">
        <v>4219046</v>
      </c>
      <c r="C493" s="4">
        <v>482</v>
      </c>
      <c r="D493" s="6" t="s">
        <v>1313</v>
      </c>
      <c r="E493" s="7" t="s">
        <v>510</v>
      </c>
      <c r="F493" s="7"/>
      <c r="G493" s="7"/>
      <c r="H493" s="7"/>
      <c r="I493" s="7"/>
      <c r="J493" s="7"/>
      <c r="K493" s="7"/>
      <c r="L493" s="7"/>
      <c r="M493" s="7"/>
      <c r="N493" s="7"/>
      <c r="O493" s="5" t="s">
        <v>509</v>
      </c>
      <c r="P493" s="45">
        <v>247.56</v>
      </c>
      <c r="Q493" s="47">
        <f t="shared" si="7"/>
        <v>263.361705288</v>
      </c>
      <c r="R493" s="4">
        <v>180</v>
      </c>
      <c r="S493" s="4">
        <v>12</v>
      </c>
    </row>
    <row r="494" spans="2:19" ht="11.25" x14ac:dyDescent="0.15">
      <c r="B494" s="3">
        <v>4219047</v>
      </c>
      <c r="C494" s="4">
        <v>483</v>
      </c>
      <c r="D494" s="6" t="s">
        <v>1314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5" t="s">
        <v>511</v>
      </c>
      <c r="P494" s="45">
        <v>218.96</v>
      </c>
      <c r="Q494" s="47">
        <f t="shared" si="7"/>
        <v>232.936173008</v>
      </c>
      <c r="R494" s="4">
        <v>180</v>
      </c>
      <c r="S494" s="4">
        <v>12</v>
      </c>
    </row>
    <row r="495" spans="2:19" ht="11.25" x14ac:dyDescent="0.15">
      <c r="B495" s="3">
        <v>4219048</v>
      </c>
      <c r="C495" s="4">
        <v>484</v>
      </c>
      <c r="D495" s="6" t="s">
        <v>1315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5" t="s">
        <v>512</v>
      </c>
      <c r="P495" s="45">
        <v>184.64</v>
      </c>
      <c r="Q495" s="47">
        <f t="shared" si="7"/>
        <v>196.42553427199996</v>
      </c>
      <c r="R495" s="4">
        <v>180</v>
      </c>
      <c r="S495" s="4">
        <v>12</v>
      </c>
    </row>
    <row r="496" spans="2:19" ht="11.25" x14ac:dyDescent="0.15">
      <c r="B496" s="3">
        <v>4219049</v>
      </c>
      <c r="C496" s="4">
        <v>485</v>
      </c>
      <c r="D496" s="6" t="s">
        <v>1316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5" t="s">
        <v>513</v>
      </c>
      <c r="P496" s="45">
        <v>370.4</v>
      </c>
      <c r="Q496" s="47">
        <f t="shared" si="7"/>
        <v>394.04255791999998</v>
      </c>
      <c r="R496" s="4">
        <v>180</v>
      </c>
      <c r="S496" s="4">
        <v>12</v>
      </c>
    </row>
    <row r="497" spans="2:19" ht="11.25" x14ac:dyDescent="0.15">
      <c r="B497" s="3">
        <v>4219050</v>
      </c>
      <c r="C497" s="4">
        <v>486</v>
      </c>
      <c r="D497" s="6" t="s">
        <v>1317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5" t="s">
        <v>514</v>
      </c>
      <c r="P497" s="45">
        <v>266.25</v>
      </c>
      <c r="Q497" s="47">
        <f t="shared" si="7"/>
        <v>283.24468424999998</v>
      </c>
      <c r="R497" s="4">
        <v>180</v>
      </c>
      <c r="S497" s="4">
        <v>12</v>
      </c>
    </row>
    <row r="498" spans="2:19" ht="11.25" x14ac:dyDescent="0.15">
      <c r="B498" s="3">
        <v>4219051</v>
      </c>
      <c r="C498" s="4">
        <v>487</v>
      </c>
      <c r="D498" s="6" t="s">
        <v>1318</v>
      </c>
      <c r="E498" s="7" t="s">
        <v>516</v>
      </c>
      <c r="F498" s="7"/>
      <c r="G498" s="7"/>
      <c r="H498" s="7"/>
      <c r="I498" s="7"/>
      <c r="J498" s="7"/>
      <c r="K498" s="7"/>
      <c r="L498" s="7"/>
      <c r="M498" s="7"/>
      <c r="N498" s="7"/>
      <c r="O498" s="5" t="s">
        <v>515</v>
      </c>
      <c r="P498" s="45">
        <v>195.77</v>
      </c>
      <c r="Q498" s="47">
        <f t="shared" si="7"/>
        <v>208.26595994600001</v>
      </c>
      <c r="R498" s="4">
        <v>180</v>
      </c>
      <c r="S498" s="4">
        <v>12</v>
      </c>
    </row>
    <row r="499" spans="2:19" ht="11.25" x14ac:dyDescent="0.15">
      <c r="B499" s="3">
        <v>4219052</v>
      </c>
      <c r="C499" s="4">
        <v>488</v>
      </c>
      <c r="D499" s="6" t="s">
        <v>1319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5" t="s">
        <v>517</v>
      </c>
      <c r="P499" s="45">
        <v>62.55</v>
      </c>
      <c r="Q499" s="47">
        <f t="shared" si="7"/>
        <v>66.542553989999988</v>
      </c>
      <c r="R499" s="4">
        <v>180</v>
      </c>
      <c r="S499" s="4">
        <v>12</v>
      </c>
    </row>
    <row r="500" spans="2:19" ht="11.25" x14ac:dyDescent="0.15">
      <c r="B500" s="3">
        <v>4219053</v>
      </c>
      <c r="C500" s="4">
        <v>489</v>
      </c>
      <c r="D500" s="6" t="s">
        <v>1320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5" t="s">
        <v>518</v>
      </c>
      <c r="P500" s="45">
        <v>100.72</v>
      </c>
      <c r="Q500" s="47">
        <f t="shared" si="7"/>
        <v>107.148937456</v>
      </c>
      <c r="R500" s="4">
        <v>180</v>
      </c>
      <c r="S500" s="4">
        <v>12</v>
      </c>
    </row>
    <row r="501" spans="2:19" ht="11.25" x14ac:dyDescent="0.15">
      <c r="B501" s="3">
        <v>4219054</v>
      </c>
      <c r="C501" s="4">
        <v>490</v>
      </c>
      <c r="D501" s="6" t="s">
        <v>1321</v>
      </c>
      <c r="E501" s="7" t="s">
        <v>520</v>
      </c>
      <c r="F501" s="7"/>
      <c r="G501" s="7"/>
      <c r="H501" s="7"/>
      <c r="I501" s="7"/>
      <c r="J501" s="7"/>
      <c r="K501" s="7"/>
      <c r="L501" s="7"/>
      <c r="M501" s="7"/>
      <c r="N501" s="7"/>
      <c r="O501" s="5" t="s">
        <v>519</v>
      </c>
      <c r="P501" s="45">
        <v>4.33</v>
      </c>
      <c r="Q501" s="47">
        <f t="shared" si="7"/>
        <v>4.6063830339999994</v>
      </c>
      <c r="R501" s="4">
        <v>180</v>
      </c>
      <c r="S501" s="4">
        <v>12</v>
      </c>
    </row>
    <row r="502" spans="2:19" ht="11.25" x14ac:dyDescent="0.15">
      <c r="B502" s="3">
        <v>4219055</v>
      </c>
      <c r="C502" s="4">
        <v>491</v>
      </c>
      <c r="D502" s="6" t="s">
        <v>1322</v>
      </c>
      <c r="E502" s="7" t="s">
        <v>522</v>
      </c>
      <c r="F502" s="7"/>
      <c r="G502" s="7"/>
      <c r="H502" s="7"/>
      <c r="I502" s="7"/>
      <c r="J502" s="7"/>
      <c r="K502" s="7"/>
      <c r="L502" s="7"/>
      <c r="M502" s="7"/>
      <c r="N502" s="7"/>
      <c r="O502" s="5" t="s">
        <v>521</v>
      </c>
      <c r="P502" s="45">
        <v>4.21</v>
      </c>
      <c r="Q502" s="47">
        <f t="shared" si="7"/>
        <v>4.4787234579999993</v>
      </c>
      <c r="R502" s="4">
        <v>180</v>
      </c>
      <c r="S502" s="4">
        <v>12</v>
      </c>
    </row>
    <row r="503" spans="2:19" ht="11.25" x14ac:dyDescent="0.15">
      <c r="B503" s="3">
        <v>4219056</v>
      </c>
      <c r="C503" s="4">
        <v>492</v>
      </c>
      <c r="D503" s="6" t="s">
        <v>1323</v>
      </c>
      <c r="E503" s="7" t="s">
        <v>524</v>
      </c>
      <c r="F503" s="7"/>
      <c r="G503" s="7"/>
      <c r="H503" s="7"/>
      <c r="I503" s="7"/>
      <c r="J503" s="7"/>
      <c r="K503" s="7"/>
      <c r="L503" s="7"/>
      <c r="M503" s="7"/>
      <c r="N503" s="7"/>
      <c r="O503" s="5" t="s">
        <v>523</v>
      </c>
      <c r="P503" s="45">
        <v>12.38</v>
      </c>
      <c r="Q503" s="47">
        <f t="shared" si="7"/>
        <v>13.170212923999999</v>
      </c>
      <c r="R503" s="4">
        <v>180</v>
      </c>
      <c r="S503" s="4">
        <v>12</v>
      </c>
    </row>
    <row r="504" spans="2:19" ht="11.25" x14ac:dyDescent="0.15">
      <c r="B504" s="3">
        <v>4219057</v>
      </c>
      <c r="C504" s="4">
        <v>493</v>
      </c>
      <c r="D504" s="6" t="s">
        <v>1324</v>
      </c>
      <c r="E504" s="7" t="s">
        <v>526</v>
      </c>
      <c r="F504" s="7"/>
      <c r="G504" s="7"/>
      <c r="H504" s="7"/>
      <c r="I504" s="7"/>
      <c r="J504" s="7"/>
      <c r="K504" s="7"/>
      <c r="L504" s="7"/>
      <c r="M504" s="7"/>
      <c r="N504" s="7"/>
      <c r="O504" s="5" t="s">
        <v>525</v>
      </c>
      <c r="P504" s="45">
        <v>13.71</v>
      </c>
      <c r="Q504" s="47">
        <f t="shared" si="7"/>
        <v>14.585106558</v>
      </c>
      <c r="R504" s="4">
        <v>180</v>
      </c>
      <c r="S504" s="4">
        <v>12</v>
      </c>
    </row>
    <row r="505" spans="2:19" ht="11.25" x14ac:dyDescent="0.15">
      <c r="B505" s="3">
        <v>4219058</v>
      </c>
      <c r="C505" s="4">
        <v>494</v>
      </c>
      <c r="D505" s="6" t="s">
        <v>1325</v>
      </c>
      <c r="E505" s="7" t="s">
        <v>520</v>
      </c>
      <c r="F505" s="7"/>
      <c r="G505" s="7"/>
      <c r="H505" s="7"/>
      <c r="I505" s="7"/>
      <c r="J505" s="7"/>
      <c r="K505" s="7"/>
      <c r="L505" s="7"/>
      <c r="M505" s="7"/>
      <c r="N505" s="7"/>
      <c r="O505" s="5" t="s">
        <v>519</v>
      </c>
      <c r="P505" s="45">
        <v>4.33</v>
      </c>
      <c r="Q505" s="47">
        <f t="shared" si="7"/>
        <v>4.6063830339999994</v>
      </c>
      <c r="R505" s="4">
        <v>180</v>
      </c>
      <c r="S505" s="4">
        <v>12</v>
      </c>
    </row>
    <row r="506" spans="2:19" ht="11.25" x14ac:dyDescent="0.15">
      <c r="B506" s="3">
        <v>4219059</v>
      </c>
      <c r="C506" s="4">
        <v>495</v>
      </c>
      <c r="D506" s="6" t="s">
        <v>1326</v>
      </c>
      <c r="E506" s="7" t="s">
        <v>522</v>
      </c>
      <c r="F506" s="7"/>
      <c r="G506" s="7"/>
      <c r="H506" s="7"/>
      <c r="I506" s="7"/>
      <c r="J506" s="7"/>
      <c r="K506" s="7"/>
      <c r="L506" s="7"/>
      <c r="M506" s="7"/>
      <c r="N506" s="7"/>
      <c r="O506" s="5" t="s">
        <v>521</v>
      </c>
      <c r="P506" s="45">
        <v>4.21</v>
      </c>
      <c r="Q506" s="47">
        <f t="shared" si="7"/>
        <v>4.4787234579999993</v>
      </c>
      <c r="R506" s="4">
        <v>180</v>
      </c>
      <c r="S506" s="4">
        <v>12</v>
      </c>
    </row>
    <row r="507" spans="2:19" ht="11.25" x14ac:dyDescent="0.15">
      <c r="B507" s="3">
        <v>4219060</v>
      </c>
      <c r="C507" s="4">
        <v>496</v>
      </c>
      <c r="D507" s="6" t="s">
        <v>1327</v>
      </c>
      <c r="E507" s="7" t="s">
        <v>524</v>
      </c>
      <c r="F507" s="7"/>
      <c r="G507" s="7"/>
      <c r="H507" s="7"/>
      <c r="I507" s="7"/>
      <c r="J507" s="7"/>
      <c r="K507" s="7"/>
      <c r="L507" s="7"/>
      <c r="M507" s="7"/>
      <c r="N507" s="7"/>
      <c r="O507" s="5" t="s">
        <v>523</v>
      </c>
      <c r="P507" s="45">
        <v>12.38</v>
      </c>
      <c r="Q507" s="47">
        <f t="shared" si="7"/>
        <v>13.170212923999999</v>
      </c>
      <c r="R507" s="4">
        <v>180</v>
      </c>
      <c r="S507" s="4">
        <v>12</v>
      </c>
    </row>
    <row r="508" spans="2:19" ht="11.25" x14ac:dyDescent="0.15">
      <c r="B508" s="3">
        <v>4219061</v>
      </c>
      <c r="C508" s="4">
        <v>497</v>
      </c>
      <c r="D508" s="6" t="s">
        <v>1328</v>
      </c>
      <c r="E508" s="7" t="s">
        <v>526</v>
      </c>
      <c r="F508" s="7"/>
      <c r="G508" s="7"/>
      <c r="H508" s="7"/>
      <c r="I508" s="7"/>
      <c r="J508" s="7"/>
      <c r="K508" s="7"/>
      <c r="L508" s="7"/>
      <c r="M508" s="7"/>
      <c r="N508" s="7"/>
      <c r="O508" s="5" t="s">
        <v>525</v>
      </c>
      <c r="P508" s="45">
        <v>13.71</v>
      </c>
      <c r="Q508" s="47">
        <f t="shared" si="7"/>
        <v>14.585106558</v>
      </c>
      <c r="R508" s="4">
        <v>180</v>
      </c>
      <c r="S508" s="4">
        <v>12</v>
      </c>
    </row>
    <row r="509" spans="2:19" ht="11.25" x14ac:dyDescent="0.15">
      <c r="B509" s="3">
        <v>4219062</v>
      </c>
      <c r="C509" s="4">
        <v>498</v>
      </c>
      <c r="D509" s="6" t="s">
        <v>1329</v>
      </c>
      <c r="E509" s="7" t="s">
        <v>528</v>
      </c>
      <c r="F509" s="7"/>
      <c r="G509" s="7"/>
      <c r="H509" s="7"/>
      <c r="I509" s="7"/>
      <c r="J509" s="7"/>
      <c r="K509" s="7"/>
      <c r="L509" s="7"/>
      <c r="M509" s="7"/>
      <c r="N509" s="7"/>
      <c r="O509" s="5" t="s">
        <v>527</v>
      </c>
      <c r="P509" s="45">
        <v>139.76</v>
      </c>
      <c r="Q509" s="47">
        <f t="shared" si="7"/>
        <v>148.68085284799997</v>
      </c>
      <c r="R509" s="4">
        <v>180</v>
      </c>
      <c r="S509" s="4">
        <v>12</v>
      </c>
    </row>
    <row r="510" spans="2:19" ht="11.25" x14ac:dyDescent="0.15">
      <c r="B510" s="3">
        <v>4219063</v>
      </c>
      <c r="C510" s="4">
        <v>499</v>
      </c>
      <c r="D510" s="6" t="s">
        <v>1330</v>
      </c>
      <c r="E510" s="7" t="s">
        <v>530</v>
      </c>
      <c r="F510" s="7"/>
      <c r="G510" s="7"/>
      <c r="H510" s="7"/>
      <c r="I510" s="7"/>
      <c r="J510" s="7"/>
      <c r="K510" s="7"/>
      <c r="L510" s="7"/>
      <c r="M510" s="7"/>
      <c r="N510" s="7"/>
      <c r="O510" s="5" t="s">
        <v>529</v>
      </c>
      <c r="P510" s="45">
        <v>2254.17</v>
      </c>
      <c r="Q510" s="47">
        <f t="shared" si="7"/>
        <v>2398.0532202660002</v>
      </c>
      <c r="R510" s="4">
        <v>180</v>
      </c>
      <c r="S510" s="4">
        <v>12</v>
      </c>
    </row>
    <row r="511" spans="2:19" ht="11.25" x14ac:dyDescent="0.15">
      <c r="B511" s="3">
        <v>4219064</v>
      </c>
      <c r="C511" s="4">
        <v>500</v>
      </c>
      <c r="D511" s="6" t="s">
        <v>1331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5" t="s">
        <v>531</v>
      </c>
      <c r="P511" s="45">
        <v>8.67</v>
      </c>
      <c r="Q511" s="47">
        <f t="shared" si="7"/>
        <v>9.2234043659999987</v>
      </c>
      <c r="R511" s="4">
        <v>180</v>
      </c>
      <c r="S511" s="4">
        <v>12</v>
      </c>
    </row>
    <row r="512" spans="2:19" ht="11.25" x14ac:dyDescent="0.15">
      <c r="B512" s="3">
        <v>4219065</v>
      </c>
      <c r="C512" s="4">
        <v>501</v>
      </c>
      <c r="D512" s="6" t="s">
        <v>1332</v>
      </c>
      <c r="E512" s="7" t="s">
        <v>533</v>
      </c>
      <c r="F512" s="7"/>
      <c r="G512" s="7"/>
      <c r="H512" s="7"/>
      <c r="I512" s="7"/>
      <c r="J512" s="7"/>
      <c r="K512" s="7"/>
      <c r="L512" s="7"/>
      <c r="M512" s="7"/>
      <c r="N512" s="7"/>
      <c r="O512" s="5" t="s">
        <v>532</v>
      </c>
      <c r="P512" s="45">
        <v>806.07</v>
      </c>
      <c r="Q512" s="47">
        <f t="shared" si="7"/>
        <v>857.52128688599998</v>
      </c>
      <c r="R512" s="4">
        <v>180</v>
      </c>
      <c r="S512" s="4">
        <v>12</v>
      </c>
    </row>
    <row r="513" spans="2:19" ht="11.25" x14ac:dyDescent="0.15">
      <c r="B513" s="3">
        <v>4219066</v>
      </c>
      <c r="C513" s="4">
        <v>502</v>
      </c>
      <c r="D513" s="6" t="s">
        <v>1333</v>
      </c>
      <c r="E513" s="7" t="s">
        <v>535</v>
      </c>
      <c r="F513" s="7"/>
      <c r="G513" s="7"/>
      <c r="H513" s="7"/>
      <c r="I513" s="7"/>
      <c r="J513" s="7"/>
      <c r="K513" s="7"/>
      <c r="L513" s="7"/>
      <c r="M513" s="7"/>
      <c r="N513" s="7"/>
      <c r="O513" s="5" t="s">
        <v>534</v>
      </c>
      <c r="P513" s="45">
        <v>846.54</v>
      </c>
      <c r="Q513" s="47">
        <f t="shared" si="7"/>
        <v>900.57447889199989</v>
      </c>
      <c r="R513" s="4">
        <v>180</v>
      </c>
      <c r="S513" s="4">
        <v>12</v>
      </c>
    </row>
    <row r="514" spans="2:19" ht="11.25" x14ac:dyDescent="0.15">
      <c r="B514" s="3">
        <v>4219067</v>
      </c>
      <c r="C514" s="4">
        <v>503</v>
      </c>
      <c r="D514" s="6" t="s">
        <v>1334</v>
      </c>
      <c r="E514" s="7" t="s">
        <v>537</v>
      </c>
      <c r="F514" s="7"/>
      <c r="G514" s="7"/>
      <c r="H514" s="7"/>
      <c r="I514" s="7"/>
      <c r="J514" s="7"/>
      <c r="K514" s="7"/>
      <c r="L514" s="7"/>
      <c r="M514" s="7"/>
      <c r="N514" s="7"/>
      <c r="O514" s="5" t="s">
        <v>536</v>
      </c>
      <c r="P514" s="45">
        <v>372.19</v>
      </c>
      <c r="Q514" s="47">
        <f t="shared" si="7"/>
        <v>395.94681326199998</v>
      </c>
      <c r="R514" s="4">
        <v>180</v>
      </c>
      <c r="S514" s="4">
        <v>12</v>
      </c>
    </row>
    <row r="515" spans="2:19" ht="11.25" x14ac:dyDescent="0.15">
      <c r="B515" s="3">
        <v>4219068</v>
      </c>
      <c r="C515" s="4">
        <v>504</v>
      </c>
      <c r="D515" s="6" t="s">
        <v>1335</v>
      </c>
      <c r="E515" s="7" t="s">
        <v>539</v>
      </c>
      <c r="F515" s="7"/>
      <c r="G515" s="7"/>
      <c r="H515" s="7"/>
      <c r="I515" s="7"/>
      <c r="J515" s="7"/>
      <c r="K515" s="7"/>
      <c r="L515" s="7"/>
      <c r="M515" s="7"/>
      <c r="N515" s="7"/>
      <c r="O515" s="5" t="s">
        <v>538</v>
      </c>
      <c r="P515" s="45">
        <v>391.12</v>
      </c>
      <c r="Q515" s="47">
        <f t="shared" si="7"/>
        <v>416.08511137599999</v>
      </c>
      <c r="R515" s="4">
        <v>180</v>
      </c>
      <c r="S515" s="4">
        <v>12</v>
      </c>
    </row>
    <row r="516" spans="2:19" ht="11.25" x14ac:dyDescent="0.15">
      <c r="B516" s="3">
        <v>4219069</v>
      </c>
      <c r="C516" s="4">
        <v>505</v>
      </c>
      <c r="D516" s="6" t="s">
        <v>1336</v>
      </c>
      <c r="E516" s="7" t="s">
        <v>541</v>
      </c>
      <c r="F516" s="7"/>
      <c r="G516" s="7"/>
      <c r="H516" s="7"/>
      <c r="I516" s="7"/>
      <c r="J516" s="7"/>
      <c r="K516" s="7"/>
      <c r="L516" s="7"/>
      <c r="M516" s="7"/>
      <c r="N516" s="7"/>
      <c r="O516" s="5" t="s">
        <v>540</v>
      </c>
      <c r="P516" s="45">
        <v>519.46</v>
      </c>
      <c r="Q516" s="47">
        <f t="shared" si="7"/>
        <v>552.61702790799995</v>
      </c>
      <c r="R516" s="4">
        <v>180</v>
      </c>
      <c r="S516" s="4">
        <v>12</v>
      </c>
    </row>
    <row r="517" spans="2:19" ht="11.25" x14ac:dyDescent="0.15">
      <c r="B517" s="3">
        <v>4219070</v>
      </c>
      <c r="C517" s="4">
        <v>506</v>
      </c>
      <c r="D517" s="6" t="s">
        <v>1337</v>
      </c>
      <c r="E517" s="7" t="s">
        <v>543</v>
      </c>
      <c r="F517" s="7"/>
      <c r="G517" s="7"/>
      <c r="H517" s="7"/>
      <c r="I517" s="7"/>
      <c r="J517" s="7"/>
      <c r="K517" s="7"/>
      <c r="L517" s="7"/>
      <c r="M517" s="7"/>
      <c r="N517" s="7"/>
      <c r="O517" s="5" t="s">
        <v>542</v>
      </c>
      <c r="P517" s="45">
        <v>374.72</v>
      </c>
      <c r="Q517" s="47">
        <f t="shared" si="7"/>
        <v>398.63830265600001</v>
      </c>
      <c r="R517" s="4">
        <v>180</v>
      </c>
      <c r="S517" s="4">
        <v>12</v>
      </c>
    </row>
    <row r="518" spans="2:19" ht="11.25" x14ac:dyDescent="0.15">
      <c r="B518" s="3">
        <v>4219071</v>
      </c>
      <c r="C518" s="4">
        <v>507</v>
      </c>
      <c r="D518" s="6" t="s">
        <v>1338</v>
      </c>
      <c r="E518" s="7" t="s">
        <v>545</v>
      </c>
      <c r="F518" s="7"/>
      <c r="G518" s="7"/>
      <c r="H518" s="7"/>
      <c r="I518" s="7"/>
      <c r="J518" s="7"/>
      <c r="K518" s="7"/>
      <c r="L518" s="7"/>
      <c r="M518" s="7"/>
      <c r="N518" s="7"/>
      <c r="O518" s="5" t="s">
        <v>544</v>
      </c>
      <c r="P518" s="45">
        <v>56155.23</v>
      </c>
      <c r="Q518" s="47">
        <f t="shared" si="7"/>
        <v>59739.607099854002</v>
      </c>
      <c r="R518" s="4">
        <v>180</v>
      </c>
      <c r="S518" s="4">
        <v>12</v>
      </c>
    </row>
    <row r="519" spans="2:19" ht="11.25" x14ac:dyDescent="0.15">
      <c r="B519" s="3">
        <v>4219072</v>
      </c>
      <c r="C519" s="4">
        <v>508</v>
      </c>
      <c r="D519" s="6" t="s">
        <v>1339</v>
      </c>
      <c r="E519" s="7" t="s">
        <v>547</v>
      </c>
      <c r="F519" s="7"/>
      <c r="G519" s="7"/>
      <c r="H519" s="7"/>
      <c r="I519" s="7"/>
      <c r="J519" s="7"/>
      <c r="K519" s="7"/>
      <c r="L519" s="7"/>
      <c r="M519" s="7"/>
      <c r="N519" s="7"/>
      <c r="O519" s="5" t="s">
        <v>546</v>
      </c>
      <c r="P519" s="45">
        <v>84731.93</v>
      </c>
      <c r="Q519" s="47">
        <f t="shared" si="7"/>
        <v>90140.352145513985</v>
      </c>
      <c r="R519" s="4">
        <v>180</v>
      </c>
      <c r="S519" s="4">
        <v>12</v>
      </c>
    </row>
    <row r="520" spans="2:19" ht="11.25" x14ac:dyDescent="0.15">
      <c r="B520" s="3">
        <v>4219073</v>
      </c>
      <c r="C520" s="4">
        <v>509</v>
      </c>
      <c r="D520" s="6" t="s">
        <v>1340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5" t="s">
        <v>548</v>
      </c>
      <c r="P520" s="45">
        <v>112693.47</v>
      </c>
      <c r="Q520" s="47">
        <f t="shared" si="7"/>
        <v>119886.671651406</v>
      </c>
      <c r="R520" s="4">
        <v>180</v>
      </c>
      <c r="S520" s="4">
        <v>12</v>
      </c>
    </row>
    <row r="521" spans="2:19" ht="11.25" x14ac:dyDescent="0.15">
      <c r="B521" s="3">
        <v>4219074</v>
      </c>
      <c r="C521" s="4">
        <v>510</v>
      </c>
      <c r="D521" s="6" t="s">
        <v>1341</v>
      </c>
      <c r="E521" s="7" t="s">
        <v>550</v>
      </c>
      <c r="F521" s="7"/>
      <c r="G521" s="7"/>
      <c r="H521" s="7"/>
      <c r="I521" s="7"/>
      <c r="J521" s="7"/>
      <c r="K521" s="7"/>
      <c r="L521" s="7"/>
      <c r="M521" s="7"/>
      <c r="N521" s="7"/>
      <c r="O521" s="5" t="s">
        <v>549</v>
      </c>
      <c r="P521" s="45">
        <v>40319.129999999997</v>
      </c>
      <c r="Q521" s="47">
        <f t="shared" si="7"/>
        <v>42892.692004073993</v>
      </c>
      <c r="R521" s="4">
        <v>180</v>
      </c>
      <c r="S521" s="4">
        <v>12</v>
      </c>
    </row>
    <row r="522" spans="2:19" ht="11.25" x14ac:dyDescent="0.15">
      <c r="B522" s="3">
        <v>4219075</v>
      </c>
      <c r="C522" s="4">
        <v>511</v>
      </c>
      <c r="D522" s="6" t="s">
        <v>1342</v>
      </c>
      <c r="E522" s="7" t="s">
        <v>552</v>
      </c>
      <c r="F522" s="7"/>
      <c r="G522" s="7"/>
      <c r="H522" s="7"/>
      <c r="I522" s="7"/>
      <c r="J522" s="7"/>
      <c r="K522" s="7"/>
      <c r="L522" s="7"/>
      <c r="M522" s="7"/>
      <c r="N522" s="7"/>
      <c r="O522" s="5" t="s">
        <v>551</v>
      </c>
      <c r="P522" s="45">
        <v>73774.22</v>
      </c>
      <c r="Q522" s="47">
        <f t="shared" si="7"/>
        <v>78483.213707756004</v>
      </c>
      <c r="R522" s="4">
        <v>180</v>
      </c>
      <c r="S522" s="4">
        <v>12</v>
      </c>
    </row>
    <row r="523" spans="2:19" ht="11.25" x14ac:dyDescent="0.15">
      <c r="B523" s="3">
        <v>4219076</v>
      </c>
      <c r="C523" s="4">
        <v>512</v>
      </c>
      <c r="D523" s="6" t="s">
        <v>1343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5" t="s">
        <v>553</v>
      </c>
      <c r="P523" s="45">
        <v>411.53</v>
      </c>
      <c r="Q523" s="47">
        <f t="shared" si="7"/>
        <v>437.79787759399994</v>
      </c>
      <c r="R523" s="4">
        <v>180</v>
      </c>
      <c r="S523" s="4">
        <v>12</v>
      </c>
    </row>
    <row r="524" spans="2:19" ht="11.25" x14ac:dyDescent="0.15">
      <c r="B524" s="3">
        <v>4219077</v>
      </c>
      <c r="C524" s="4">
        <v>513</v>
      </c>
      <c r="D524" s="6" t="s">
        <v>1344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5" t="s">
        <v>554</v>
      </c>
      <c r="P524" s="45">
        <v>18718.41</v>
      </c>
      <c r="Q524" s="47">
        <f t="shared" si="7"/>
        <v>19913.202366617999</v>
      </c>
      <c r="R524" s="4">
        <v>180</v>
      </c>
      <c r="S524" s="4">
        <v>12</v>
      </c>
    </row>
    <row r="525" spans="2:19" ht="11.25" x14ac:dyDescent="0.15">
      <c r="B525" s="3">
        <v>4219078</v>
      </c>
      <c r="C525" s="4">
        <v>514</v>
      </c>
      <c r="D525" s="6" t="s">
        <v>1345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5" t="s">
        <v>555</v>
      </c>
      <c r="P525" s="45">
        <v>28243.98</v>
      </c>
      <c r="Q525" s="47">
        <f t="shared" si="7"/>
        <v>30046.787594603997</v>
      </c>
      <c r="R525" s="4">
        <v>180</v>
      </c>
      <c r="S525" s="4">
        <v>12</v>
      </c>
    </row>
    <row r="526" spans="2:19" ht="11.25" x14ac:dyDescent="0.15">
      <c r="B526" s="3">
        <v>4219079</v>
      </c>
      <c r="C526" s="4">
        <v>515</v>
      </c>
      <c r="D526" s="6" t="s">
        <v>1346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5" t="s">
        <v>556</v>
      </c>
      <c r="P526" s="45">
        <v>37566.82</v>
      </c>
      <c r="Q526" s="47">
        <f t="shared" si="7"/>
        <v>39964.702607235995</v>
      </c>
      <c r="R526" s="4">
        <v>180</v>
      </c>
      <c r="S526" s="4">
        <v>12</v>
      </c>
    </row>
    <row r="527" spans="2:19" ht="11.25" x14ac:dyDescent="0.15">
      <c r="B527" s="3">
        <v>4219080</v>
      </c>
      <c r="C527" s="4">
        <v>516</v>
      </c>
      <c r="D527" s="6" t="s">
        <v>1347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5" t="s">
        <v>557</v>
      </c>
      <c r="P527" s="45">
        <v>13439.71</v>
      </c>
      <c r="Q527" s="47">
        <f t="shared" si="7"/>
        <v>14297.564001357998</v>
      </c>
      <c r="R527" s="4">
        <v>180</v>
      </c>
      <c r="S527" s="4">
        <v>12</v>
      </c>
    </row>
    <row r="528" spans="2:19" ht="11.25" x14ac:dyDescent="0.15">
      <c r="B528" s="3">
        <v>4219081</v>
      </c>
      <c r="C528" s="4">
        <v>517</v>
      </c>
      <c r="D528" s="6" t="s">
        <v>1348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5" t="s">
        <v>558</v>
      </c>
      <c r="P528" s="45">
        <v>24591.41</v>
      </c>
      <c r="Q528" s="47">
        <f t="shared" ref="Q528:Q591" si="8">P528*1.0638298</f>
        <v>26161.074782017997</v>
      </c>
      <c r="R528" s="4">
        <v>180</v>
      </c>
      <c r="S528" s="4">
        <v>12</v>
      </c>
    </row>
    <row r="529" spans="2:19" ht="11.25" x14ac:dyDescent="0.15">
      <c r="B529" s="3">
        <v>4219082</v>
      </c>
      <c r="C529" s="4">
        <v>518</v>
      </c>
      <c r="D529" s="6" t="s">
        <v>1349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5" t="s">
        <v>559</v>
      </c>
      <c r="P529" s="45">
        <v>131.82</v>
      </c>
      <c r="Q529" s="47">
        <f t="shared" si="8"/>
        <v>140.23404423599999</v>
      </c>
      <c r="R529" s="4">
        <v>180</v>
      </c>
      <c r="S529" s="4">
        <v>12</v>
      </c>
    </row>
    <row r="530" spans="2:19" ht="11.25" x14ac:dyDescent="0.15">
      <c r="B530" s="3">
        <v>4219083</v>
      </c>
      <c r="C530" s="4">
        <v>519</v>
      </c>
      <c r="D530" s="6" t="s">
        <v>1350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5" t="s">
        <v>560</v>
      </c>
      <c r="P530" s="45">
        <v>135.58000000000001</v>
      </c>
      <c r="Q530" s="47">
        <f t="shared" si="8"/>
        <v>144.23404428399999</v>
      </c>
      <c r="R530" s="4">
        <v>180</v>
      </c>
      <c r="S530" s="4">
        <v>12</v>
      </c>
    </row>
    <row r="531" spans="2:19" ht="11.25" x14ac:dyDescent="0.15">
      <c r="B531" s="3">
        <v>4219084</v>
      </c>
      <c r="C531" s="4">
        <v>520</v>
      </c>
      <c r="D531" s="6" t="s">
        <v>1351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5" t="s">
        <v>561</v>
      </c>
      <c r="P531" s="45">
        <v>126.6</v>
      </c>
      <c r="Q531" s="47">
        <f t="shared" si="8"/>
        <v>134.68085267999999</v>
      </c>
      <c r="R531" s="4">
        <v>180</v>
      </c>
      <c r="S531" s="4">
        <v>12</v>
      </c>
    </row>
    <row r="532" spans="2:19" ht="11.25" x14ac:dyDescent="0.15">
      <c r="B532" s="3">
        <v>4219085</v>
      </c>
      <c r="C532" s="4">
        <v>521</v>
      </c>
      <c r="D532" s="6" t="s">
        <v>1352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5" t="s">
        <v>562</v>
      </c>
      <c r="P532" s="45">
        <v>5949.75</v>
      </c>
      <c r="Q532" s="47">
        <f t="shared" si="8"/>
        <v>6329.5213525499994</v>
      </c>
      <c r="R532" s="4">
        <v>180</v>
      </c>
      <c r="S532" s="4">
        <v>12</v>
      </c>
    </row>
    <row r="533" spans="2:19" ht="11.25" x14ac:dyDescent="0.15">
      <c r="B533" s="3">
        <v>4219086</v>
      </c>
      <c r="C533" s="4">
        <v>522</v>
      </c>
      <c r="D533" s="6" t="s">
        <v>1353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5" t="s">
        <v>563</v>
      </c>
      <c r="P533" s="45">
        <v>7375</v>
      </c>
      <c r="Q533" s="47">
        <f t="shared" si="8"/>
        <v>7845.7447749999992</v>
      </c>
      <c r="R533" s="4">
        <v>180</v>
      </c>
      <c r="S533" s="4">
        <v>12</v>
      </c>
    </row>
    <row r="534" spans="2:19" ht="11.25" x14ac:dyDescent="0.15">
      <c r="B534" s="3">
        <v>4219087</v>
      </c>
      <c r="C534" s="4">
        <v>523</v>
      </c>
      <c r="D534" s="6" t="s">
        <v>1354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5" t="s">
        <v>564</v>
      </c>
      <c r="P534" s="45">
        <v>9898.7199999999993</v>
      </c>
      <c r="Q534" s="47">
        <f t="shared" si="8"/>
        <v>10530.553317855998</v>
      </c>
      <c r="R534" s="4">
        <v>180</v>
      </c>
      <c r="S534" s="4">
        <v>12</v>
      </c>
    </row>
    <row r="535" spans="2:19" ht="11.25" x14ac:dyDescent="0.15">
      <c r="B535" s="3">
        <v>4219088</v>
      </c>
      <c r="C535" s="4">
        <v>524</v>
      </c>
      <c r="D535" s="6" t="s">
        <v>1355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5" t="s">
        <v>565</v>
      </c>
      <c r="P535" s="45">
        <v>9898.7199999999993</v>
      </c>
      <c r="Q535" s="47">
        <f t="shared" si="8"/>
        <v>10530.553317855998</v>
      </c>
      <c r="R535" s="4">
        <v>180</v>
      </c>
      <c r="S535" s="4">
        <v>12</v>
      </c>
    </row>
    <row r="536" spans="2:19" ht="11.25" x14ac:dyDescent="0.15">
      <c r="B536" s="3">
        <v>4219089</v>
      </c>
      <c r="C536" s="4">
        <v>525</v>
      </c>
      <c r="D536" s="6" t="s">
        <v>1356</v>
      </c>
      <c r="E536" s="7" t="s">
        <v>567</v>
      </c>
      <c r="F536" s="7"/>
      <c r="G536" s="7"/>
      <c r="H536" s="7"/>
      <c r="I536" s="7"/>
      <c r="J536" s="7"/>
      <c r="K536" s="7"/>
      <c r="L536" s="7"/>
      <c r="M536" s="7"/>
      <c r="N536" s="7"/>
      <c r="O536" s="5" t="s">
        <v>566</v>
      </c>
      <c r="P536" s="45">
        <v>159.58000000000001</v>
      </c>
      <c r="Q536" s="47">
        <f t="shared" si="8"/>
        <v>169.76595948400001</v>
      </c>
      <c r="R536" s="4">
        <v>180</v>
      </c>
      <c r="S536" s="4">
        <v>12</v>
      </c>
    </row>
    <row r="537" spans="2:19" ht="11.25" x14ac:dyDescent="0.15">
      <c r="B537" s="3">
        <v>4219090</v>
      </c>
      <c r="C537" s="4">
        <v>526</v>
      </c>
      <c r="D537" s="6" t="s">
        <v>1357</v>
      </c>
      <c r="E537" s="7" t="s">
        <v>569</v>
      </c>
      <c r="F537" s="7"/>
      <c r="G537" s="7"/>
      <c r="H537" s="7"/>
      <c r="I537" s="7"/>
      <c r="J537" s="7"/>
      <c r="K537" s="7"/>
      <c r="L537" s="7"/>
      <c r="M537" s="7"/>
      <c r="N537" s="7"/>
      <c r="O537" s="5" t="s">
        <v>568</v>
      </c>
      <c r="P537" s="45">
        <v>10.26</v>
      </c>
      <c r="Q537" s="47">
        <f t="shared" si="8"/>
        <v>10.914893747999999</v>
      </c>
      <c r="R537" s="4">
        <v>180</v>
      </c>
      <c r="S537" s="4">
        <v>12</v>
      </c>
    </row>
    <row r="538" spans="2:19" ht="11.25" x14ac:dyDescent="0.15">
      <c r="B538" s="3">
        <v>4219091</v>
      </c>
      <c r="C538" s="4">
        <v>527</v>
      </c>
      <c r="D538" s="6" t="s">
        <v>1358</v>
      </c>
      <c r="E538" s="7" t="s">
        <v>571</v>
      </c>
      <c r="F538" s="7"/>
      <c r="G538" s="7"/>
      <c r="H538" s="7"/>
      <c r="I538" s="7"/>
      <c r="J538" s="7"/>
      <c r="K538" s="7"/>
      <c r="L538" s="7"/>
      <c r="M538" s="7"/>
      <c r="N538" s="7"/>
      <c r="O538" s="5" t="s">
        <v>570</v>
      </c>
      <c r="P538" s="45">
        <v>9.43</v>
      </c>
      <c r="Q538" s="47">
        <f t="shared" si="8"/>
        <v>10.031915013999999</v>
      </c>
      <c r="R538" s="4">
        <v>180</v>
      </c>
      <c r="S538" s="4">
        <v>12</v>
      </c>
    </row>
    <row r="539" spans="2:19" ht="11.25" x14ac:dyDescent="0.15">
      <c r="B539" s="3">
        <v>4219092</v>
      </c>
      <c r="C539" s="4">
        <v>528</v>
      </c>
      <c r="D539" s="6" t="s">
        <v>1359</v>
      </c>
      <c r="E539" s="6">
        <v>2200950</v>
      </c>
      <c r="F539" s="6"/>
      <c r="G539" s="6"/>
      <c r="H539" s="6"/>
      <c r="I539" s="6"/>
      <c r="J539" s="6"/>
      <c r="K539" s="6"/>
      <c r="L539" s="6"/>
      <c r="M539" s="6"/>
      <c r="N539" s="6"/>
      <c r="O539" s="5" t="s">
        <v>572</v>
      </c>
      <c r="P539" s="45">
        <v>349.3</v>
      </c>
      <c r="Q539" s="47">
        <f t="shared" si="8"/>
        <v>371.59574914000001</v>
      </c>
      <c r="R539" s="4">
        <v>180</v>
      </c>
      <c r="S539" s="4">
        <v>12</v>
      </c>
    </row>
    <row r="540" spans="2:19" ht="11.25" x14ac:dyDescent="0.15">
      <c r="B540" s="3">
        <v>4219093</v>
      </c>
      <c r="C540" s="4">
        <v>529</v>
      </c>
      <c r="D540" s="6" t="s">
        <v>1360</v>
      </c>
      <c r="E540" s="6">
        <v>2203572</v>
      </c>
      <c r="F540" s="6"/>
      <c r="G540" s="6"/>
      <c r="H540" s="6"/>
      <c r="I540" s="6"/>
      <c r="J540" s="6"/>
      <c r="K540" s="6"/>
      <c r="L540" s="6"/>
      <c r="M540" s="6"/>
      <c r="N540" s="6"/>
      <c r="O540" s="5" t="s">
        <v>573</v>
      </c>
      <c r="P540" s="45">
        <v>583.02</v>
      </c>
      <c r="Q540" s="47">
        <f t="shared" si="8"/>
        <v>620.23404999599995</v>
      </c>
      <c r="R540" s="4">
        <v>180</v>
      </c>
      <c r="S540" s="4">
        <v>12</v>
      </c>
    </row>
    <row r="541" spans="2:19" ht="11.25" x14ac:dyDescent="0.15">
      <c r="B541" s="3">
        <v>4219094</v>
      </c>
      <c r="C541" s="4">
        <v>530</v>
      </c>
      <c r="D541" s="6" t="s">
        <v>1361</v>
      </c>
      <c r="E541" s="6">
        <v>2203576</v>
      </c>
      <c r="F541" s="6"/>
      <c r="G541" s="6"/>
      <c r="H541" s="6"/>
      <c r="I541" s="6"/>
      <c r="J541" s="6"/>
      <c r="K541" s="6"/>
      <c r="L541" s="6"/>
      <c r="M541" s="6"/>
      <c r="N541" s="6"/>
      <c r="O541" s="5" t="s">
        <v>574</v>
      </c>
      <c r="P541" s="45">
        <v>927.85</v>
      </c>
      <c r="Q541" s="47">
        <f t="shared" si="8"/>
        <v>987.07447992999994</v>
      </c>
      <c r="R541" s="4">
        <v>180</v>
      </c>
      <c r="S541" s="4">
        <v>12</v>
      </c>
    </row>
    <row r="542" spans="2:19" ht="11.25" x14ac:dyDescent="0.15">
      <c r="B542" s="3">
        <v>4219095</v>
      </c>
      <c r="C542" s="4">
        <v>531</v>
      </c>
      <c r="D542" s="6" t="s">
        <v>1362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5" t="s">
        <v>575</v>
      </c>
      <c r="P542" s="45">
        <v>9898.7099999999991</v>
      </c>
      <c r="Q542" s="47">
        <f t="shared" si="8"/>
        <v>10530.542679557999</v>
      </c>
      <c r="R542" s="4">
        <v>180</v>
      </c>
      <c r="S542" s="4">
        <v>12</v>
      </c>
    </row>
    <row r="543" spans="2:19" ht="11.25" x14ac:dyDescent="0.15">
      <c r="B543" s="3">
        <v>4219096</v>
      </c>
      <c r="C543" s="4">
        <v>532</v>
      </c>
      <c r="D543" s="6" t="s">
        <v>1363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5" t="s">
        <v>576</v>
      </c>
      <c r="P543" s="45">
        <v>11769.81</v>
      </c>
      <c r="Q543" s="47">
        <f t="shared" si="8"/>
        <v>12521.074618337998</v>
      </c>
      <c r="R543" s="4">
        <v>180</v>
      </c>
      <c r="S543" s="4">
        <v>12</v>
      </c>
    </row>
    <row r="544" spans="2:19" ht="11.25" x14ac:dyDescent="0.15">
      <c r="B544" s="3">
        <v>4219097</v>
      </c>
      <c r="C544" s="4">
        <v>533</v>
      </c>
      <c r="D544" s="6" t="s">
        <v>1364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5" t="s">
        <v>577</v>
      </c>
      <c r="P544" s="45">
        <v>11769.81</v>
      </c>
      <c r="Q544" s="47">
        <f t="shared" si="8"/>
        <v>12521.074618337998</v>
      </c>
      <c r="R544" s="4">
        <v>180</v>
      </c>
      <c r="S544" s="4">
        <v>12</v>
      </c>
    </row>
    <row r="545" spans="2:19" ht="11.25" x14ac:dyDescent="0.15">
      <c r="B545" s="3">
        <v>4219098</v>
      </c>
      <c r="C545" s="4">
        <v>534</v>
      </c>
      <c r="D545" s="6" t="s">
        <v>1365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5" t="s">
        <v>578</v>
      </c>
      <c r="P545" s="45">
        <v>13731.44</v>
      </c>
      <c r="Q545" s="47">
        <f t="shared" si="8"/>
        <v>14607.915068912</v>
      </c>
      <c r="R545" s="4">
        <v>180</v>
      </c>
      <c r="S545" s="4">
        <v>12</v>
      </c>
    </row>
    <row r="546" spans="2:19" ht="11.25" x14ac:dyDescent="0.15">
      <c r="B546" s="3">
        <v>4219099</v>
      </c>
      <c r="C546" s="4">
        <v>535</v>
      </c>
      <c r="D546" s="6" t="s">
        <v>1366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5" t="s">
        <v>579</v>
      </c>
      <c r="P546" s="45">
        <v>13731.44</v>
      </c>
      <c r="Q546" s="47">
        <f t="shared" si="8"/>
        <v>14607.915068912</v>
      </c>
      <c r="R546" s="4">
        <v>180</v>
      </c>
      <c r="S546" s="4">
        <v>12</v>
      </c>
    </row>
    <row r="547" spans="2:19" ht="11.25" x14ac:dyDescent="0.15">
      <c r="B547" s="3">
        <v>4219100</v>
      </c>
      <c r="C547" s="4">
        <v>536</v>
      </c>
      <c r="D547" s="6" t="s">
        <v>1367</v>
      </c>
      <c r="E547" s="7" t="s">
        <v>581</v>
      </c>
      <c r="F547" s="7"/>
      <c r="G547" s="7"/>
      <c r="H547" s="7"/>
      <c r="I547" s="7"/>
      <c r="J547" s="7"/>
      <c r="K547" s="7"/>
      <c r="L547" s="7"/>
      <c r="M547" s="7"/>
      <c r="N547" s="7"/>
      <c r="O547" s="5" t="s">
        <v>580</v>
      </c>
      <c r="P547" s="45">
        <v>17.64</v>
      </c>
      <c r="Q547" s="47">
        <f t="shared" si="8"/>
        <v>18.765957671999999</v>
      </c>
      <c r="R547" s="4">
        <v>180</v>
      </c>
      <c r="S547" s="4">
        <v>12</v>
      </c>
    </row>
    <row r="548" spans="2:19" ht="11.25" x14ac:dyDescent="0.15">
      <c r="B548" s="3">
        <v>4219101</v>
      </c>
      <c r="C548" s="4">
        <v>537</v>
      </c>
      <c r="D548" s="6" t="s">
        <v>1368</v>
      </c>
      <c r="E548" s="7" t="s">
        <v>583</v>
      </c>
      <c r="F548" s="7"/>
      <c r="G548" s="7"/>
      <c r="H548" s="7"/>
      <c r="I548" s="7"/>
      <c r="J548" s="7"/>
      <c r="K548" s="7"/>
      <c r="L548" s="7"/>
      <c r="M548" s="7"/>
      <c r="N548" s="7"/>
      <c r="O548" s="5" t="s">
        <v>582</v>
      </c>
      <c r="P548" s="45">
        <v>93.64</v>
      </c>
      <c r="Q548" s="47">
        <f t="shared" si="8"/>
        <v>99.617022471999988</v>
      </c>
      <c r="R548" s="4">
        <v>180</v>
      </c>
      <c r="S548" s="4">
        <v>12</v>
      </c>
    </row>
    <row r="549" spans="2:19" ht="11.25" x14ac:dyDescent="0.15">
      <c r="B549" s="3">
        <v>4219102</v>
      </c>
      <c r="C549" s="4">
        <v>538</v>
      </c>
      <c r="D549" s="6" t="s">
        <v>1369</v>
      </c>
      <c r="E549" s="7" t="s">
        <v>585</v>
      </c>
      <c r="F549" s="7"/>
      <c r="G549" s="7"/>
      <c r="H549" s="7"/>
      <c r="I549" s="7"/>
      <c r="J549" s="7"/>
      <c r="K549" s="7"/>
      <c r="L549" s="7"/>
      <c r="M549" s="7"/>
      <c r="N549" s="7"/>
      <c r="O549" s="5" t="s">
        <v>584</v>
      </c>
      <c r="P549" s="45">
        <v>478.48</v>
      </c>
      <c r="Q549" s="47">
        <f t="shared" si="8"/>
        <v>509.02128270399999</v>
      </c>
      <c r="R549" s="4">
        <v>180</v>
      </c>
      <c r="S549" s="4">
        <v>12</v>
      </c>
    </row>
    <row r="550" spans="2:19" ht="11.25" x14ac:dyDescent="0.15">
      <c r="B550" s="3">
        <v>4219103</v>
      </c>
      <c r="C550" s="4">
        <v>539</v>
      </c>
      <c r="D550" s="6" t="s">
        <v>1370</v>
      </c>
      <c r="E550" s="7" t="s">
        <v>587</v>
      </c>
      <c r="F550" s="7"/>
      <c r="G550" s="7"/>
      <c r="H550" s="7"/>
      <c r="I550" s="7"/>
      <c r="J550" s="7"/>
      <c r="K550" s="7"/>
      <c r="L550" s="7"/>
      <c r="M550" s="7"/>
      <c r="N550" s="7"/>
      <c r="O550" s="5" t="s">
        <v>586</v>
      </c>
      <c r="P550" s="45">
        <v>468.24</v>
      </c>
      <c r="Q550" s="47">
        <f t="shared" si="8"/>
        <v>498.127665552</v>
      </c>
      <c r="R550" s="4">
        <v>180</v>
      </c>
      <c r="S550" s="4">
        <v>12</v>
      </c>
    </row>
    <row r="551" spans="2:19" ht="11.25" x14ac:dyDescent="0.15">
      <c r="B551" s="3">
        <v>4219104</v>
      </c>
      <c r="C551" s="4">
        <v>540</v>
      </c>
      <c r="D551" s="6" t="s">
        <v>1371</v>
      </c>
      <c r="E551" s="7" t="s">
        <v>589</v>
      </c>
      <c r="F551" s="7"/>
      <c r="G551" s="7"/>
      <c r="H551" s="7"/>
      <c r="I551" s="7"/>
      <c r="J551" s="7"/>
      <c r="K551" s="7"/>
      <c r="L551" s="7"/>
      <c r="M551" s="7"/>
      <c r="N551" s="7"/>
      <c r="O551" s="5" t="s">
        <v>588</v>
      </c>
      <c r="P551" s="45">
        <v>810.99</v>
      </c>
      <c r="Q551" s="47">
        <f t="shared" si="8"/>
        <v>862.755329502</v>
      </c>
      <c r="R551" s="4">
        <v>180</v>
      </c>
      <c r="S551" s="4">
        <v>12</v>
      </c>
    </row>
    <row r="552" spans="2:19" ht="11.25" x14ac:dyDescent="0.15">
      <c r="B552" s="3">
        <v>4219105</v>
      </c>
      <c r="C552" s="4">
        <v>541</v>
      </c>
      <c r="D552" s="6" t="s">
        <v>1372</v>
      </c>
      <c r="E552" s="7" t="s">
        <v>591</v>
      </c>
      <c r="F552" s="7"/>
      <c r="G552" s="7"/>
      <c r="H552" s="7"/>
      <c r="I552" s="7"/>
      <c r="J552" s="7"/>
      <c r="K552" s="7"/>
      <c r="L552" s="7"/>
      <c r="M552" s="7"/>
      <c r="N552" s="7"/>
      <c r="O552" s="5" t="s">
        <v>590</v>
      </c>
      <c r="P552" s="45">
        <v>876.8</v>
      </c>
      <c r="Q552" s="47">
        <f t="shared" si="8"/>
        <v>932.76596863999987</v>
      </c>
      <c r="R552" s="4">
        <v>180</v>
      </c>
      <c r="S552" s="4">
        <v>12</v>
      </c>
    </row>
    <row r="553" spans="2:19" ht="11.25" x14ac:dyDescent="0.15">
      <c r="B553" s="3">
        <v>4219106</v>
      </c>
      <c r="C553" s="4">
        <v>542</v>
      </c>
      <c r="D553" s="6" t="s">
        <v>1373</v>
      </c>
      <c r="E553" s="7" t="s">
        <v>593</v>
      </c>
      <c r="F553" s="7"/>
      <c r="G553" s="7"/>
      <c r="H553" s="7"/>
      <c r="I553" s="7"/>
      <c r="J553" s="7"/>
      <c r="K553" s="7"/>
      <c r="L553" s="7"/>
      <c r="M553" s="7"/>
      <c r="N553" s="7"/>
      <c r="O553" s="5" t="s">
        <v>592</v>
      </c>
      <c r="P553" s="45">
        <v>2931.44</v>
      </c>
      <c r="Q553" s="47">
        <f t="shared" si="8"/>
        <v>3118.5532289119997</v>
      </c>
      <c r="R553" s="4">
        <v>180</v>
      </c>
      <c r="S553" s="4">
        <v>12</v>
      </c>
    </row>
    <row r="554" spans="2:19" ht="11.25" x14ac:dyDescent="0.15">
      <c r="B554" s="3">
        <v>4219107</v>
      </c>
      <c r="C554" s="4">
        <v>543</v>
      </c>
      <c r="D554" s="6" t="s">
        <v>1374</v>
      </c>
      <c r="E554" s="7" t="s">
        <v>595</v>
      </c>
      <c r="F554" s="7"/>
      <c r="G554" s="7"/>
      <c r="H554" s="7"/>
      <c r="I554" s="7"/>
      <c r="J554" s="7"/>
      <c r="K554" s="7"/>
      <c r="L554" s="7"/>
      <c r="M554" s="7"/>
      <c r="N554" s="7"/>
      <c r="O554" s="5" t="s">
        <v>594</v>
      </c>
      <c r="P554" s="45">
        <v>3194.73</v>
      </c>
      <c r="Q554" s="47">
        <f t="shared" si="8"/>
        <v>3398.6489769539999</v>
      </c>
      <c r="R554" s="4">
        <v>180</v>
      </c>
      <c r="S554" s="4">
        <v>12</v>
      </c>
    </row>
    <row r="555" spans="2:19" ht="11.25" x14ac:dyDescent="0.15">
      <c r="B555" s="3">
        <v>4219108</v>
      </c>
      <c r="C555" s="4">
        <v>544</v>
      </c>
      <c r="D555" s="6" t="s">
        <v>1375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5" t="s">
        <v>596</v>
      </c>
      <c r="P555" s="45">
        <v>3316.83</v>
      </c>
      <c r="Q555" s="47">
        <f t="shared" si="8"/>
        <v>3528.5425955339997</v>
      </c>
      <c r="R555" s="4">
        <v>180</v>
      </c>
      <c r="S555" s="4">
        <v>12</v>
      </c>
    </row>
    <row r="556" spans="2:19" ht="11.25" x14ac:dyDescent="0.15">
      <c r="B556" s="3">
        <v>4219109</v>
      </c>
      <c r="C556" s="4">
        <v>545</v>
      </c>
      <c r="D556" s="6" t="s">
        <v>1376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5" t="s">
        <v>597</v>
      </c>
      <c r="P556" s="45">
        <v>201.2</v>
      </c>
      <c r="Q556" s="47">
        <f t="shared" si="8"/>
        <v>214.04255575999997</v>
      </c>
      <c r="R556" s="4">
        <v>180</v>
      </c>
      <c r="S556" s="4">
        <v>12</v>
      </c>
    </row>
    <row r="557" spans="2:19" ht="11.25" x14ac:dyDescent="0.15">
      <c r="B557" s="3">
        <v>4219110</v>
      </c>
      <c r="C557" s="4">
        <v>546</v>
      </c>
      <c r="D557" s="6" t="s">
        <v>1377</v>
      </c>
      <c r="E557" s="7" t="s">
        <v>599</v>
      </c>
      <c r="F557" s="7"/>
      <c r="G557" s="7"/>
      <c r="H557" s="7"/>
      <c r="I557" s="7"/>
      <c r="J557" s="7"/>
      <c r="K557" s="7"/>
      <c r="L557" s="7"/>
      <c r="M557" s="7"/>
      <c r="N557" s="7"/>
      <c r="O557" s="5" t="s">
        <v>598</v>
      </c>
      <c r="P557" s="45">
        <v>375.69</v>
      </c>
      <c r="Q557" s="47">
        <f t="shared" si="8"/>
        <v>399.67021756199995</v>
      </c>
      <c r="R557" s="4">
        <v>180</v>
      </c>
      <c r="S557" s="4">
        <v>12</v>
      </c>
    </row>
    <row r="558" spans="2:19" ht="11.25" x14ac:dyDescent="0.15">
      <c r="B558" s="3">
        <v>4219111</v>
      </c>
      <c r="C558" s="4">
        <v>547</v>
      </c>
      <c r="D558" s="6" t="s">
        <v>1378</v>
      </c>
      <c r="E558" s="7" t="s">
        <v>601</v>
      </c>
      <c r="F558" s="7"/>
      <c r="G558" s="7"/>
      <c r="H558" s="7"/>
      <c r="I558" s="7"/>
      <c r="J558" s="7"/>
      <c r="K558" s="7"/>
      <c r="L558" s="7"/>
      <c r="M558" s="7"/>
      <c r="N558" s="7"/>
      <c r="O558" s="5" t="s">
        <v>600</v>
      </c>
      <c r="P558" s="45">
        <v>475.14</v>
      </c>
      <c r="Q558" s="47">
        <f t="shared" si="8"/>
        <v>505.46809117199996</v>
      </c>
      <c r="R558" s="4">
        <v>180</v>
      </c>
      <c r="S558" s="4">
        <v>12</v>
      </c>
    </row>
    <row r="559" spans="2:19" ht="11.25" x14ac:dyDescent="0.15">
      <c r="B559" s="3">
        <v>4219112</v>
      </c>
      <c r="C559" s="4">
        <v>548</v>
      </c>
      <c r="D559" s="6" t="s">
        <v>1379</v>
      </c>
      <c r="E559" s="7" t="s">
        <v>603</v>
      </c>
      <c r="F559" s="7"/>
      <c r="G559" s="7"/>
      <c r="H559" s="7"/>
      <c r="I559" s="7"/>
      <c r="J559" s="7"/>
      <c r="K559" s="7"/>
      <c r="L559" s="7"/>
      <c r="M559" s="7"/>
      <c r="N559" s="7"/>
      <c r="O559" s="5" t="s">
        <v>602</v>
      </c>
      <c r="P559" s="45">
        <v>61.19</v>
      </c>
      <c r="Q559" s="47">
        <f t="shared" si="8"/>
        <v>65.095745461999996</v>
      </c>
      <c r="R559" s="4">
        <v>180</v>
      </c>
      <c r="S559" s="4">
        <v>12</v>
      </c>
    </row>
    <row r="560" spans="2:19" ht="11.25" x14ac:dyDescent="0.15">
      <c r="B560" s="3">
        <v>4219113</v>
      </c>
      <c r="C560" s="4">
        <v>549</v>
      </c>
      <c r="D560" s="6" t="s">
        <v>1380</v>
      </c>
      <c r="E560" s="7" t="s">
        <v>605</v>
      </c>
      <c r="F560" s="7"/>
      <c r="G560" s="7"/>
      <c r="H560" s="7"/>
      <c r="I560" s="7"/>
      <c r="J560" s="7"/>
      <c r="K560" s="7"/>
      <c r="L560" s="7"/>
      <c r="M560" s="7"/>
      <c r="N560" s="7"/>
      <c r="O560" s="5" t="s">
        <v>604</v>
      </c>
      <c r="P560" s="45">
        <v>27.58</v>
      </c>
      <c r="Q560" s="47">
        <f t="shared" si="8"/>
        <v>29.340425883999995</v>
      </c>
      <c r="R560" s="4">
        <v>180</v>
      </c>
      <c r="S560" s="4">
        <v>12</v>
      </c>
    </row>
    <row r="561" spans="2:19" ht="11.25" x14ac:dyDescent="0.15">
      <c r="B561" s="3">
        <v>4219114</v>
      </c>
      <c r="C561" s="4">
        <v>550</v>
      </c>
      <c r="D561" s="6" t="s">
        <v>1381</v>
      </c>
      <c r="E561" s="7" t="s">
        <v>607</v>
      </c>
      <c r="F561" s="7"/>
      <c r="G561" s="7"/>
      <c r="H561" s="7"/>
      <c r="I561" s="7"/>
      <c r="J561" s="7"/>
      <c r="K561" s="7"/>
      <c r="L561" s="7"/>
      <c r="M561" s="7"/>
      <c r="N561" s="7"/>
      <c r="O561" s="5" t="s">
        <v>606</v>
      </c>
      <c r="P561" s="45">
        <v>26.4</v>
      </c>
      <c r="Q561" s="47">
        <f t="shared" si="8"/>
        <v>28.085106719999995</v>
      </c>
      <c r="R561" s="4">
        <v>180</v>
      </c>
      <c r="S561" s="4">
        <v>12</v>
      </c>
    </row>
    <row r="562" spans="2:19" ht="11.25" x14ac:dyDescent="0.15">
      <c r="B562" s="3">
        <v>4219115</v>
      </c>
      <c r="C562" s="4">
        <v>551</v>
      </c>
      <c r="D562" s="6" t="s">
        <v>1382</v>
      </c>
      <c r="E562" s="7" t="s">
        <v>609</v>
      </c>
      <c r="F562" s="7"/>
      <c r="G562" s="7"/>
      <c r="H562" s="7"/>
      <c r="I562" s="7"/>
      <c r="J562" s="7"/>
      <c r="K562" s="7"/>
      <c r="L562" s="7"/>
      <c r="M562" s="7"/>
      <c r="N562" s="7"/>
      <c r="O562" s="5" t="s">
        <v>608</v>
      </c>
      <c r="P562" s="45">
        <v>3998.27</v>
      </c>
      <c r="Q562" s="47">
        <f t="shared" si="8"/>
        <v>4253.478774446</v>
      </c>
      <c r="R562" s="4">
        <v>180</v>
      </c>
      <c r="S562" s="4">
        <v>12</v>
      </c>
    </row>
    <row r="563" spans="2:19" ht="11.25" x14ac:dyDescent="0.15">
      <c r="B563" s="3">
        <v>4219116</v>
      </c>
      <c r="C563" s="4">
        <v>552</v>
      </c>
      <c r="D563" s="6" t="s">
        <v>1383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5" t="s">
        <v>610</v>
      </c>
      <c r="P563" s="45">
        <v>3675.79</v>
      </c>
      <c r="Q563" s="47">
        <f t="shared" si="8"/>
        <v>3910.4149405419998</v>
      </c>
      <c r="R563" s="4">
        <v>180</v>
      </c>
      <c r="S563" s="4">
        <v>12</v>
      </c>
    </row>
    <row r="564" spans="2:19" ht="11.25" x14ac:dyDescent="0.15">
      <c r="B564" s="3">
        <v>4219117</v>
      </c>
      <c r="C564" s="4">
        <v>553</v>
      </c>
      <c r="D564" s="6" t="s">
        <v>1384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5" t="s">
        <v>611</v>
      </c>
      <c r="P564" s="45">
        <v>5636.72</v>
      </c>
      <c r="Q564" s="47">
        <f t="shared" si="8"/>
        <v>5996.5107102559996</v>
      </c>
      <c r="R564" s="4">
        <v>180</v>
      </c>
      <c r="S564" s="4">
        <v>12</v>
      </c>
    </row>
    <row r="565" spans="2:19" ht="11.25" x14ac:dyDescent="0.15">
      <c r="B565" s="3">
        <v>4219118</v>
      </c>
      <c r="C565" s="4">
        <v>554</v>
      </c>
      <c r="D565" s="6" t="s">
        <v>1385</v>
      </c>
      <c r="E565" s="7" t="s">
        <v>613</v>
      </c>
      <c r="F565" s="7"/>
      <c r="G565" s="7"/>
      <c r="H565" s="7"/>
      <c r="I565" s="7"/>
      <c r="J565" s="7"/>
      <c r="K565" s="7"/>
      <c r="L565" s="7"/>
      <c r="M565" s="7"/>
      <c r="N565" s="7"/>
      <c r="O565" s="5" t="s">
        <v>612</v>
      </c>
      <c r="P565" s="45">
        <v>301.49</v>
      </c>
      <c r="Q565" s="47">
        <f t="shared" si="8"/>
        <v>320.73404640199999</v>
      </c>
      <c r="R565" s="4">
        <v>180</v>
      </c>
      <c r="S565" s="4">
        <v>12</v>
      </c>
    </row>
    <row r="566" spans="2:19" ht="11.25" x14ac:dyDescent="0.15">
      <c r="B566" s="3">
        <v>4219119</v>
      </c>
      <c r="C566" s="4">
        <v>555</v>
      </c>
      <c r="D566" s="6" t="s">
        <v>1386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5" t="s">
        <v>614</v>
      </c>
      <c r="P566" s="45">
        <v>1100.58</v>
      </c>
      <c r="Q566" s="47">
        <f t="shared" si="8"/>
        <v>1170.8298012839998</v>
      </c>
      <c r="R566" s="4">
        <v>180</v>
      </c>
      <c r="S566" s="4">
        <v>12</v>
      </c>
    </row>
    <row r="567" spans="2:19" ht="11.25" x14ac:dyDescent="0.15">
      <c r="B567" s="3">
        <v>4219120</v>
      </c>
      <c r="C567" s="4">
        <v>556</v>
      </c>
      <c r="D567" s="6" t="s">
        <v>1387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5" t="s">
        <v>615</v>
      </c>
      <c r="P567" s="45">
        <v>1994.12</v>
      </c>
      <c r="Q567" s="47">
        <f t="shared" si="8"/>
        <v>2121.4042807759997</v>
      </c>
      <c r="R567" s="4">
        <v>180</v>
      </c>
      <c r="S567" s="4">
        <v>12</v>
      </c>
    </row>
    <row r="568" spans="2:19" ht="11.25" x14ac:dyDescent="0.15">
      <c r="B568" s="3">
        <v>4219121</v>
      </c>
      <c r="C568" s="4">
        <v>557</v>
      </c>
      <c r="D568" s="6" t="s">
        <v>1388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5" t="s">
        <v>616</v>
      </c>
      <c r="P568" s="45">
        <v>3025.92</v>
      </c>
      <c r="Q568" s="47">
        <f t="shared" si="8"/>
        <v>3219.0638684159999</v>
      </c>
      <c r="R568" s="4">
        <v>180</v>
      </c>
      <c r="S568" s="4">
        <v>12</v>
      </c>
    </row>
    <row r="569" spans="2:19" ht="11.25" x14ac:dyDescent="0.15">
      <c r="B569" s="3">
        <v>4219122</v>
      </c>
      <c r="C569" s="4">
        <v>558</v>
      </c>
      <c r="D569" s="6" t="s">
        <v>1389</v>
      </c>
      <c r="E569" s="7" t="s">
        <v>618</v>
      </c>
      <c r="F569" s="7"/>
      <c r="G569" s="7"/>
      <c r="H569" s="7"/>
      <c r="I569" s="7"/>
      <c r="J569" s="7"/>
      <c r="K569" s="7"/>
      <c r="L569" s="7"/>
      <c r="M569" s="7"/>
      <c r="N569" s="7"/>
      <c r="O569" s="5" t="s">
        <v>617</v>
      </c>
      <c r="P569" s="45">
        <v>80.28</v>
      </c>
      <c r="Q569" s="47">
        <f t="shared" si="8"/>
        <v>85.40425634399999</v>
      </c>
      <c r="R569" s="4">
        <v>180</v>
      </c>
      <c r="S569" s="4">
        <v>12</v>
      </c>
    </row>
    <row r="570" spans="2:19" ht="11.25" x14ac:dyDescent="0.15">
      <c r="B570" s="3">
        <v>4219123</v>
      </c>
      <c r="C570" s="4">
        <v>559</v>
      </c>
      <c r="D570" s="6" t="s">
        <v>1390</v>
      </c>
      <c r="E570" s="7" t="s">
        <v>620</v>
      </c>
      <c r="F570" s="7"/>
      <c r="G570" s="7"/>
      <c r="H570" s="7"/>
      <c r="I570" s="7"/>
      <c r="J570" s="7"/>
      <c r="K570" s="7"/>
      <c r="L570" s="7"/>
      <c r="M570" s="7"/>
      <c r="N570" s="7"/>
      <c r="O570" s="5" t="s">
        <v>619</v>
      </c>
      <c r="P570" s="45">
        <v>121.44</v>
      </c>
      <c r="Q570" s="47">
        <f t="shared" si="8"/>
        <v>129.19149091199998</v>
      </c>
      <c r="R570" s="4">
        <v>180</v>
      </c>
      <c r="S570" s="4">
        <v>12</v>
      </c>
    </row>
    <row r="571" spans="2:19" ht="11.25" x14ac:dyDescent="0.15">
      <c r="B571" s="3">
        <v>4219124</v>
      </c>
      <c r="C571" s="4">
        <v>560</v>
      </c>
      <c r="D571" s="6" t="s">
        <v>1391</v>
      </c>
      <c r="E571" s="7" t="s">
        <v>622</v>
      </c>
      <c r="F571" s="7"/>
      <c r="G571" s="7"/>
      <c r="H571" s="7"/>
      <c r="I571" s="7"/>
      <c r="J571" s="7"/>
      <c r="K571" s="7"/>
      <c r="L571" s="7"/>
      <c r="M571" s="7"/>
      <c r="N571" s="7"/>
      <c r="O571" s="5" t="s">
        <v>621</v>
      </c>
      <c r="P571" s="45">
        <v>117.34</v>
      </c>
      <c r="Q571" s="47">
        <f t="shared" si="8"/>
        <v>124.829788732</v>
      </c>
      <c r="R571" s="4">
        <v>180</v>
      </c>
      <c r="S571" s="4">
        <v>12</v>
      </c>
    </row>
    <row r="572" spans="2:19" ht="11.25" x14ac:dyDescent="0.15">
      <c r="B572" s="3">
        <v>4219125</v>
      </c>
      <c r="C572" s="4">
        <v>561</v>
      </c>
      <c r="D572" s="6" t="s">
        <v>1392</v>
      </c>
      <c r="E572" s="7" t="s">
        <v>624</v>
      </c>
      <c r="F572" s="7"/>
      <c r="G572" s="7"/>
      <c r="H572" s="7"/>
      <c r="I572" s="7"/>
      <c r="J572" s="7"/>
      <c r="K572" s="7"/>
      <c r="L572" s="7"/>
      <c r="M572" s="7"/>
      <c r="N572" s="7"/>
      <c r="O572" s="5" t="s">
        <v>623</v>
      </c>
      <c r="P572" s="45">
        <v>62.55</v>
      </c>
      <c r="Q572" s="47">
        <f t="shared" si="8"/>
        <v>66.542553989999988</v>
      </c>
      <c r="R572" s="4">
        <v>180</v>
      </c>
      <c r="S572" s="4">
        <v>12</v>
      </c>
    </row>
    <row r="573" spans="2:19" ht="11.25" x14ac:dyDescent="0.15">
      <c r="B573" s="3">
        <v>4219126</v>
      </c>
      <c r="C573" s="4">
        <v>562</v>
      </c>
      <c r="D573" s="6" t="s">
        <v>1393</v>
      </c>
      <c r="E573" s="7" t="s">
        <v>626</v>
      </c>
      <c r="F573" s="7"/>
      <c r="G573" s="7"/>
      <c r="H573" s="7"/>
      <c r="I573" s="7"/>
      <c r="J573" s="7"/>
      <c r="K573" s="7"/>
      <c r="L573" s="7"/>
      <c r="M573" s="7"/>
      <c r="N573" s="7"/>
      <c r="O573" s="5" t="s">
        <v>625</v>
      </c>
      <c r="P573" s="45">
        <v>964.55</v>
      </c>
      <c r="Q573" s="47">
        <f t="shared" si="8"/>
        <v>1026.1170335899999</v>
      </c>
      <c r="R573" s="4">
        <v>180</v>
      </c>
      <c r="S573" s="4">
        <v>12</v>
      </c>
    </row>
    <row r="574" spans="2:19" ht="11.25" x14ac:dyDescent="0.15">
      <c r="B574" s="3">
        <v>4219127</v>
      </c>
      <c r="C574" s="4">
        <v>563</v>
      </c>
      <c r="D574" s="6" t="s">
        <v>1394</v>
      </c>
      <c r="E574" s="7" t="s">
        <v>628</v>
      </c>
      <c r="F574" s="7"/>
      <c r="G574" s="7"/>
      <c r="H574" s="7"/>
      <c r="I574" s="7"/>
      <c r="J574" s="7"/>
      <c r="K574" s="7"/>
      <c r="L574" s="7"/>
      <c r="M574" s="7"/>
      <c r="N574" s="7"/>
      <c r="O574" s="5" t="s">
        <v>627</v>
      </c>
      <c r="P574" s="45">
        <v>964.55</v>
      </c>
      <c r="Q574" s="47">
        <f t="shared" si="8"/>
        <v>1026.1170335899999</v>
      </c>
      <c r="R574" s="4">
        <v>180</v>
      </c>
      <c r="S574" s="4">
        <v>12</v>
      </c>
    </row>
    <row r="575" spans="2:19" ht="11.25" x14ac:dyDescent="0.15">
      <c r="B575" s="3">
        <v>4219128</v>
      </c>
      <c r="C575" s="4">
        <v>564</v>
      </c>
      <c r="D575" s="6" t="s">
        <v>1395</v>
      </c>
      <c r="E575" s="7" t="s">
        <v>630</v>
      </c>
      <c r="F575" s="7"/>
      <c r="G575" s="7"/>
      <c r="H575" s="7"/>
      <c r="I575" s="7"/>
      <c r="J575" s="7"/>
      <c r="K575" s="7"/>
      <c r="L575" s="7"/>
      <c r="M575" s="7"/>
      <c r="N575" s="7"/>
      <c r="O575" s="5" t="s">
        <v>629</v>
      </c>
      <c r="P575" s="45">
        <v>972.77</v>
      </c>
      <c r="Q575" s="47">
        <f t="shared" si="8"/>
        <v>1034.861714546</v>
      </c>
      <c r="R575" s="4">
        <v>180</v>
      </c>
      <c r="S575" s="4">
        <v>12</v>
      </c>
    </row>
    <row r="576" spans="2:19" ht="11.25" x14ac:dyDescent="0.15">
      <c r="B576" s="3">
        <v>4219129</v>
      </c>
      <c r="C576" s="4">
        <v>565</v>
      </c>
      <c r="D576" s="6" t="s">
        <v>1396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5" t="s">
        <v>631</v>
      </c>
      <c r="P576" s="45">
        <v>20.64</v>
      </c>
      <c r="Q576" s="47">
        <f t="shared" si="8"/>
        <v>21.957447072000001</v>
      </c>
      <c r="R576" s="4">
        <v>180</v>
      </c>
      <c r="S576" s="4">
        <v>12</v>
      </c>
    </row>
    <row r="577" spans="2:19" ht="11.25" x14ac:dyDescent="0.15">
      <c r="B577" s="3">
        <v>4219130</v>
      </c>
      <c r="C577" s="4">
        <v>566</v>
      </c>
      <c r="D577" s="6" t="s">
        <v>1397</v>
      </c>
      <c r="E577" s="7" t="s">
        <v>633</v>
      </c>
      <c r="F577" s="7"/>
      <c r="G577" s="7"/>
      <c r="H577" s="7"/>
      <c r="I577" s="7"/>
      <c r="J577" s="7"/>
      <c r="K577" s="7"/>
      <c r="L577" s="7"/>
      <c r="M577" s="7"/>
      <c r="N577" s="7"/>
      <c r="O577" s="5" t="s">
        <v>632</v>
      </c>
      <c r="P577" s="45">
        <v>73.02</v>
      </c>
      <c r="Q577" s="47">
        <f t="shared" si="8"/>
        <v>77.680851995999987</v>
      </c>
      <c r="R577" s="4">
        <v>180</v>
      </c>
      <c r="S577" s="4">
        <v>12</v>
      </c>
    </row>
    <row r="578" spans="2:19" ht="11.25" x14ac:dyDescent="0.15">
      <c r="B578" s="3">
        <v>4219131</v>
      </c>
      <c r="C578" s="4">
        <v>567</v>
      </c>
      <c r="D578" s="6" t="s">
        <v>1398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5" t="s">
        <v>634</v>
      </c>
      <c r="P578" s="45">
        <v>17.329999999999998</v>
      </c>
      <c r="Q578" s="47">
        <f t="shared" si="8"/>
        <v>18.436170433999997</v>
      </c>
      <c r="R578" s="4">
        <v>180</v>
      </c>
      <c r="S578" s="4">
        <v>12</v>
      </c>
    </row>
    <row r="579" spans="2:19" ht="11.25" x14ac:dyDescent="0.15">
      <c r="B579" s="3">
        <v>4219132</v>
      </c>
      <c r="C579" s="4">
        <v>568</v>
      </c>
      <c r="D579" s="6" t="s">
        <v>1399</v>
      </c>
      <c r="E579" s="7" t="s">
        <v>636</v>
      </c>
      <c r="F579" s="7"/>
      <c r="G579" s="7"/>
      <c r="H579" s="7"/>
      <c r="I579" s="7"/>
      <c r="J579" s="7"/>
      <c r="K579" s="7"/>
      <c r="L579" s="7"/>
      <c r="M579" s="7"/>
      <c r="N579" s="7"/>
      <c r="O579" s="5" t="s">
        <v>635</v>
      </c>
      <c r="P579" s="45">
        <v>447.11</v>
      </c>
      <c r="Q579" s="47">
        <f t="shared" si="8"/>
        <v>475.64894187799996</v>
      </c>
      <c r="R579" s="4">
        <v>180</v>
      </c>
      <c r="S579" s="4">
        <v>12</v>
      </c>
    </row>
    <row r="580" spans="2:19" ht="11.25" x14ac:dyDescent="0.15">
      <c r="B580" s="3">
        <v>4219133</v>
      </c>
      <c r="C580" s="4">
        <v>569</v>
      </c>
      <c r="D580" s="6" t="s">
        <v>1400</v>
      </c>
      <c r="E580" s="7" t="s">
        <v>638</v>
      </c>
      <c r="F580" s="7"/>
      <c r="G580" s="7"/>
      <c r="H580" s="7"/>
      <c r="I580" s="7"/>
      <c r="J580" s="7"/>
      <c r="K580" s="7"/>
      <c r="L580" s="7"/>
      <c r="M580" s="7"/>
      <c r="N580" s="7"/>
      <c r="O580" s="5" t="s">
        <v>637</v>
      </c>
      <c r="P580" s="45">
        <v>236.54</v>
      </c>
      <c r="Q580" s="47">
        <f t="shared" si="8"/>
        <v>251.63830089199999</v>
      </c>
      <c r="R580" s="4">
        <v>180</v>
      </c>
      <c r="S580" s="4">
        <v>12</v>
      </c>
    </row>
    <row r="581" spans="2:19" ht="11.25" x14ac:dyDescent="0.15">
      <c r="B581" s="3">
        <v>4219134</v>
      </c>
      <c r="C581" s="4">
        <v>570</v>
      </c>
      <c r="D581" s="6" t="s">
        <v>1401</v>
      </c>
      <c r="E581" s="7" t="s">
        <v>640</v>
      </c>
      <c r="F581" s="7"/>
      <c r="G581" s="7"/>
      <c r="H581" s="7"/>
      <c r="I581" s="7"/>
      <c r="J581" s="7"/>
      <c r="K581" s="7"/>
      <c r="L581" s="7"/>
      <c r="M581" s="7"/>
      <c r="N581" s="7"/>
      <c r="O581" s="5" t="s">
        <v>639</v>
      </c>
      <c r="P581" s="45">
        <v>33.549999999999997</v>
      </c>
      <c r="Q581" s="47">
        <f t="shared" si="8"/>
        <v>35.691489789999991</v>
      </c>
      <c r="R581" s="4">
        <v>180</v>
      </c>
      <c r="S581" s="4">
        <v>12</v>
      </c>
    </row>
    <row r="582" spans="2:19" ht="11.25" x14ac:dyDescent="0.15">
      <c r="B582" s="3">
        <v>4219135</v>
      </c>
      <c r="C582" s="4">
        <v>571</v>
      </c>
      <c r="D582" s="6" t="s">
        <v>1402</v>
      </c>
      <c r="E582" s="7" t="s">
        <v>642</v>
      </c>
      <c r="F582" s="7"/>
      <c r="G582" s="7"/>
      <c r="H582" s="7"/>
      <c r="I582" s="7"/>
      <c r="J582" s="7"/>
      <c r="K582" s="7"/>
      <c r="L582" s="7"/>
      <c r="M582" s="7"/>
      <c r="N582" s="7"/>
      <c r="O582" s="5" t="s">
        <v>641</v>
      </c>
      <c r="P582" s="45">
        <v>33.03</v>
      </c>
      <c r="Q582" s="47">
        <f t="shared" si="8"/>
        <v>35.138298294000002</v>
      </c>
      <c r="R582" s="4">
        <v>180</v>
      </c>
      <c r="S582" s="4">
        <v>12</v>
      </c>
    </row>
    <row r="583" spans="2:19" ht="11.25" x14ac:dyDescent="0.15">
      <c r="B583" s="3">
        <v>4219136</v>
      </c>
      <c r="C583" s="4">
        <v>572</v>
      </c>
      <c r="D583" s="6" t="s">
        <v>1403</v>
      </c>
      <c r="E583" s="7" t="s">
        <v>644</v>
      </c>
      <c r="F583" s="7"/>
      <c r="G583" s="7"/>
      <c r="H583" s="7"/>
      <c r="I583" s="7"/>
      <c r="J583" s="7"/>
      <c r="K583" s="7"/>
      <c r="L583" s="7"/>
      <c r="M583" s="7"/>
      <c r="N583" s="7"/>
      <c r="O583" s="5" t="s">
        <v>643</v>
      </c>
      <c r="P583" s="45">
        <v>6.02</v>
      </c>
      <c r="Q583" s="47">
        <f t="shared" si="8"/>
        <v>6.404255395999999</v>
      </c>
      <c r="R583" s="4">
        <v>180</v>
      </c>
      <c r="S583" s="4">
        <v>12</v>
      </c>
    </row>
    <row r="584" spans="2:19" ht="11.25" x14ac:dyDescent="0.15">
      <c r="B584" s="3">
        <v>4219137</v>
      </c>
      <c r="C584" s="4">
        <v>573</v>
      </c>
      <c r="D584" s="6" t="s">
        <v>1404</v>
      </c>
      <c r="E584" s="7" t="s">
        <v>646</v>
      </c>
      <c r="F584" s="7"/>
      <c r="G584" s="7"/>
      <c r="H584" s="7"/>
      <c r="I584" s="7"/>
      <c r="J584" s="7"/>
      <c r="K584" s="7"/>
      <c r="L584" s="7"/>
      <c r="M584" s="7"/>
      <c r="N584" s="7"/>
      <c r="O584" s="5" t="s">
        <v>645</v>
      </c>
      <c r="P584" s="45">
        <v>5.82</v>
      </c>
      <c r="Q584" s="47">
        <f t="shared" si="8"/>
        <v>6.1914894360000003</v>
      </c>
      <c r="R584" s="4">
        <v>180</v>
      </c>
      <c r="S584" s="4">
        <v>12</v>
      </c>
    </row>
    <row r="585" spans="2:19" ht="11.25" x14ac:dyDescent="0.15">
      <c r="B585" s="3">
        <v>4219138</v>
      </c>
      <c r="C585" s="4">
        <v>574</v>
      </c>
      <c r="D585" s="6" t="s">
        <v>1405</v>
      </c>
      <c r="E585" s="7" t="s">
        <v>648</v>
      </c>
      <c r="F585" s="7"/>
      <c r="G585" s="7"/>
      <c r="H585" s="7"/>
      <c r="I585" s="7"/>
      <c r="J585" s="7"/>
      <c r="K585" s="7"/>
      <c r="L585" s="7"/>
      <c r="M585" s="7"/>
      <c r="N585" s="7"/>
      <c r="O585" s="5" t="s">
        <v>647</v>
      </c>
      <c r="P585" s="45">
        <v>1.1000000000000001</v>
      </c>
      <c r="Q585" s="47">
        <f t="shared" si="8"/>
        <v>1.17021278</v>
      </c>
      <c r="R585" s="4">
        <v>180</v>
      </c>
      <c r="S585" s="4">
        <v>12</v>
      </c>
    </row>
    <row r="586" spans="2:19" ht="11.25" x14ac:dyDescent="0.15">
      <c r="B586" s="3">
        <v>4219139</v>
      </c>
      <c r="C586" s="4">
        <v>575</v>
      </c>
      <c r="D586" s="6" t="s">
        <v>1406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5" t="s">
        <v>649</v>
      </c>
      <c r="P586" s="45">
        <v>63.92</v>
      </c>
      <c r="Q586" s="47">
        <f t="shared" si="8"/>
        <v>68.000000815999996</v>
      </c>
      <c r="R586" s="4">
        <v>180</v>
      </c>
      <c r="S586" s="4">
        <v>12</v>
      </c>
    </row>
    <row r="587" spans="2:19" ht="11.25" x14ac:dyDescent="0.15">
      <c r="B587" s="3">
        <v>4219140</v>
      </c>
      <c r="C587" s="4">
        <v>576</v>
      </c>
      <c r="D587" s="6" t="s">
        <v>1407</v>
      </c>
      <c r="E587" s="7" t="s">
        <v>651</v>
      </c>
      <c r="F587" s="7"/>
      <c r="G587" s="7"/>
      <c r="H587" s="7"/>
      <c r="I587" s="7"/>
      <c r="J587" s="7"/>
      <c r="K587" s="7"/>
      <c r="L587" s="7"/>
      <c r="M587" s="7"/>
      <c r="N587" s="7"/>
      <c r="O587" s="5" t="s">
        <v>650</v>
      </c>
      <c r="P587" s="45">
        <v>105.24</v>
      </c>
      <c r="Q587" s="47">
        <f t="shared" si="8"/>
        <v>111.95744815199998</v>
      </c>
      <c r="R587" s="4">
        <v>180</v>
      </c>
      <c r="S587" s="4">
        <v>12</v>
      </c>
    </row>
    <row r="588" spans="2:19" ht="11.25" x14ac:dyDescent="0.15">
      <c r="B588" s="3">
        <v>4219141</v>
      </c>
      <c r="C588" s="4">
        <v>577</v>
      </c>
      <c r="D588" s="6" t="s">
        <v>1408</v>
      </c>
      <c r="E588" s="7" t="s">
        <v>653</v>
      </c>
      <c r="F588" s="7"/>
      <c r="G588" s="7"/>
      <c r="H588" s="7"/>
      <c r="I588" s="7"/>
      <c r="J588" s="7"/>
      <c r="K588" s="7"/>
      <c r="L588" s="7"/>
      <c r="M588" s="7"/>
      <c r="N588" s="7"/>
      <c r="O588" s="5" t="s">
        <v>652</v>
      </c>
      <c r="P588" s="45">
        <v>320.33999999999997</v>
      </c>
      <c r="Q588" s="47">
        <f t="shared" si="8"/>
        <v>340.78723813199997</v>
      </c>
      <c r="R588" s="4">
        <v>180</v>
      </c>
      <c r="S588" s="4">
        <v>12</v>
      </c>
    </row>
    <row r="589" spans="2:19" ht="11.25" x14ac:dyDescent="0.15">
      <c r="B589" s="3">
        <v>4219142</v>
      </c>
      <c r="C589" s="4">
        <v>578</v>
      </c>
      <c r="D589" s="6" t="s">
        <v>1409</v>
      </c>
      <c r="E589" s="7" t="s">
        <v>655</v>
      </c>
      <c r="F589" s="7"/>
      <c r="G589" s="7"/>
      <c r="H589" s="7"/>
      <c r="I589" s="7"/>
      <c r="J589" s="7"/>
      <c r="K589" s="7"/>
      <c r="L589" s="7"/>
      <c r="M589" s="7"/>
      <c r="N589" s="7"/>
      <c r="O589" s="5" t="s">
        <v>654</v>
      </c>
      <c r="P589" s="45">
        <v>164.83</v>
      </c>
      <c r="Q589" s="47">
        <f t="shared" si="8"/>
        <v>175.35106593399999</v>
      </c>
      <c r="R589" s="4">
        <v>180</v>
      </c>
      <c r="S589" s="4">
        <v>12</v>
      </c>
    </row>
    <row r="590" spans="2:19" ht="11.25" x14ac:dyDescent="0.15">
      <c r="B590" s="3">
        <v>4219143</v>
      </c>
      <c r="C590" s="4">
        <v>579</v>
      </c>
      <c r="D590" s="6" t="s">
        <v>1410</v>
      </c>
      <c r="E590" s="7" t="s">
        <v>657</v>
      </c>
      <c r="F590" s="7"/>
      <c r="G590" s="7"/>
      <c r="H590" s="7"/>
      <c r="I590" s="7"/>
      <c r="J590" s="7"/>
      <c r="K590" s="7"/>
      <c r="L590" s="7"/>
      <c r="M590" s="7"/>
      <c r="N590" s="7"/>
      <c r="O590" s="5" t="s">
        <v>656</v>
      </c>
      <c r="P590" s="45">
        <v>500.99</v>
      </c>
      <c r="Q590" s="47">
        <f t="shared" si="8"/>
        <v>532.96809150199999</v>
      </c>
      <c r="R590" s="4">
        <v>180</v>
      </c>
      <c r="S590" s="4">
        <v>12</v>
      </c>
    </row>
    <row r="591" spans="2:19" ht="11.25" x14ac:dyDescent="0.15">
      <c r="B591" s="3">
        <v>4219144</v>
      </c>
      <c r="C591" s="4">
        <v>580</v>
      </c>
      <c r="D591" s="6" t="s">
        <v>1411</v>
      </c>
      <c r="E591" s="7" t="s">
        <v>659</v>
      </c>
      <c r="F591" s="7"/>
      <c r="G591" s="7"/>
      <c r="H591" s="7"/>
      <c r="I591" s="7"/>
      <c r="J591" s="7"/>
      <c r="K591" s="7"/>
      <c r="L591" s="7"/>
      <c r="M591" s="7"/>
      <c r="N591" s="7"/>
      <c r="O591" s="5" t="s">
        <v>658</v>
      </c>
      <c r="P591" s="45">
        <v>663.25</v>
      </c>
      <c r="Q591" s="47">
        <f t="shared" si="8"/>
        <v>705.58511484999997</v>
      </c>
      <c r="R591" s="4">
        <v>180</v>
      </c>
      <c r="S591" s="4">
        <v>12</v>
      </c>
    </row>
    <row r="592" spans="2:19" ht="11.25" x14ac:dyDescent="0.15">
      <c r="B592" s="3">
        <v>4219145</v>
      </c>
      <c r="C592" s="4">
        <v>581</v>
      </c>
      <c r="D592" s="6" t="s">
        <v>1412</v>
      </c>
      <c r="E592" s="7" t="s">
        <v>661</v>
      </c>
      <c r="F592" s="7"/>
      <c r="G592" s="7"/>
      <c r="H592" s="7"/>
      <c r="I592" s="7"/>
      <c r="J592" s="7"/>
      <c r="K592" s="7"/>
      <c r="L592" s="7"/>
      <c r="M592" s="7"/>
      <c r="N592" s="7"/>
      <c r="O592" s="5" t="s">
        <v>660</v>
      </c>
      <c r="P592" s="45">
        <v>116.08</v>
      </c>
      <c r="Q592" s="47">
        <f t="shared" ref="Q592:Q655" si="9">P592*1.0638298</f>
        <v>123.48936318399998</v>
      </c>
      <c r="R592" s="4">
        <v>180</v>
      </c>
      <c r="S592" s="4">
        <v>12</v>
      </c>
    </row>
    <row r="593" spans="2:19" ht="11.25" x14ac:dyDescent="0.15">
      <c r="B593" s="3">
        <v>4219146</v>
      </c>
      <c r="C593" s="4">
        <v>582</v>
      </c>
      <c r="D593" s="6" t="s">
        <v>1413</v>
      </c>
      <c r="E593" s="7" t="s">
        <v>663</v>
      </c>
      <c r="F593" s="7"/>
      <c r="G593" s="7"/>
      <c r="H593" s="7"/>
      <c r="I593" s="7"/>
      <c r="J593" s="7"/>
      <c r="K593" s="7"/>
      <c r="L593" s="7"/>
      <c r="M593" s="7"/>
      <c r="N593" s="7"/>
      <c r="O593" s="5" t="s">
        <v>662</v>
      </c>
      <c r="P593" s="45">
        <v>163.28</v>
      </c>
      <c r="Q593" s="47">
        <f t="shared" si="9"/>
        <v>173.70212974399999</v>
      </c>
      <c r="R593" s="4">
        <v>180</v>
      </c>
      <c r="S593" s="4">
        <v>12</v>
      </c>
    </row>
    <row r="594" spans="2:19" ht="11.25" x14ac:dyDescent="0.15">
      <c r="B594" s="3">
        <v>4219147</v>
      </c>
      <c r="C594" s="4">
        <v>583</v>
      </c>
      <c r="D594" s="6" t="s">
        <v>1414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5" t="s">
        <v>664</v>
      </c>
      <c r="P594" s="45">
        <v>116.08</v>
      </c>
      <c r="Q594" s="47">
        <f t="shared" si="9"/>
        <v>123.48936318399998</v>
      </c>
      <c r="R594" s="4">
        <v>180</v>
      </c>
      <c r="S594" s="4">
        <v>12</v>
      </c>
    </row>
    <row r="595" spans="2:19" ht="11.25" x14ac:dyDescent="0.15">
      <c r="B595" s="3">
        <v>4219148</v>
      </c>
      <c r="C595" s="4">
        <v>584</v>
      </c>
      <c r="D595" s="6" t="s">
        <v>1415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5" t="s">
        <v>665</v>
      </c>
      <c r="P595" s="45">
        <v>163.28</v>
      </c>
      <c r="Q595" s="47">
        <f t="shared" si="9"/>
        <v>173.70212974399999</v>
      </c>
      <c r="R595" s="4">
        <v>180</v>
      </c>
      <c r="S595" s="4">
        <v>12</v>
      </c>
    </row>
    <row r="596" spans="2:19" ht="11.25" x14ac:dyDescent="0.15">
      <c r="B596" s="3">
        <v>4219149</v>
      </c>
      <c r="C596" s="4">
        <v>585</v>
      </c>
      <c r="D596" s="6" t="s">
        <v>1416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5" t="s">
        <v>666</v>
      </c>
      <c r="P596" s="45">
        <v>163.28</v>
      </c>
      <c r="Q596" s="47">
        <f t="shared" si="9"/>
        <v>173.70212974399999</v>
      </c>
      <c r="R596" s="4">
        <v>180</v>
      </c>
      <c r="S596" s="4">
        <v>12</v>
      </c>
    </row>
    <row r="597" spans="2:19" ht="11.25" x14ac:dyDescent="0.15">
      <c r="B597" s="3">
        <v>4219150</v>
      </c>
      <c r="C597" s="4">
        <v>586</v>
      </c>
      <c r="D597" s="6" t="s">
        <v>1417</v>
      </c>
      <c r="E597" s="7" t="s">
        <v>668</v>
      </c>
      <c r="F597" s="7"/>
      <c r="G597" s="7"/>
      <c r="H597" s="7"/>
      <c r="I597" s="7"/>
      <c r="J597" s="7"/>
      <c r="K597" s="7"/>
      <c r="L597" s="7"/>
      <c r="M597" s="7"/>
      <c r="N597" s="7"/>
      <c r="O597" s="5" t="s">
        <v>667</v>
      </c>
      <c r="P597" s="45">
        <v>159.26</v>
      </c>
      <c r="Q597" s="47">
        <f t="shared" si="9"/>
        <v>169.42553394799998</v>
      </c>
      <c r="R597" s="4">
        <v>180</v>
      </c>
      <c r="S597" s="4">
        <v>12</v>
      </c>
    </row>
    <row r="598" spans="2:19" ht="11.25" x14ac:dyDescent="0.15">
      <c r="B598" s="3">
        <v>4219151</v>
      </c>
      <c r="C598" s="4">
        <v>587</v>
      </c>
      <c r="D598" s="6" t="s">
        <v>1418</v>
      </c>
      <c r="E598" s="7" t="s">
        <v>670</v>
      </c>
      <c r="F598" s="7"/>
      <c r="G598" s="7"/>
      <c r="H598" s="7"/>
      <c r="I598" s="7"/>
      <c r="J598" s="7"/>
      <c r="K598" s="7"/>
      <c r="L598" s="7"/>
      <c r="M598" s="7"/>
      <c r="N598" s="7"/>
      <c r="O598" s="5" t="s">
        <v>669</v>
      </c>
      <c r="P598" s="45">
        <v>249.18</v>
      </c>
      <c r="Q598" s="47">
        <f t="shared" si="9"/>
        <v>265.08510956399999</v>
      </c>
      <c r="R598" s="4">
        <v>180</v>
      </c>
      <c r="S598" s="4">
        <v>12</v>
      </c>
    </row>
    <row r="599" spans="2:19" ht="11.25" x14ac:dyDescent="0.15">
      <c r="B599" s="3">
        <v>4219152</v>
      </c>
      <c r="C599" s="4">
        <v>588</v>
      </c>
      <c r="D599" s="6" t="s">
        <v>1419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5" t="s">
        <v>671</v>
      </c>
      <c r="P599" s="45">
        <v>276.97000000000003</v>
      </c>
      <c r="Q599" s="47">
        <f t="shared" si="9"/>
        <v>294.64893970600002</v>
      </c>
      <c r="R599" s="4">
        <v>180</v>
      </c>
      <c r="S599" s="4">
        <v>12</v>
      </c>
    </row>
    <row r="600" spans="2:19" ht="11.25" x14ac:dyDescent="0.15">
      <c r="B600" s="3">
        <v>4219153</v>
      </c>
      <c r="C600" s="4">
        <v>589</v>
      </c>
      <c r="D600" s="6" t="s">
        <v>1420</v>
      </c>
      <c r="E600" s="7" t="s">
        <v>673</v>
      </c>
      <c r="F600" s="7"/>
      <c r="G600" s="7"/>
      <c r="H600" s="7"/>
      <c r="I600" s="7"/>
      <c r="J600" s="7"/>
      <c r="K600" s="7"/>
      <c r="L600" s="7"/>
      <c r="M600" s="7"/>
      <c r="N600" s="7"/>
      <c r="O600" s="5" t="s">
        <v>672</v>
      </c>
      <c r="P600" s="45">
        <v>16.36</v>
      </c>
      <c r="Q600" s="47">
        <f t="shared" si="9"/>
        <v>17.404255527999997</v>
      </c>
      <c r="R600" s="4">
        <v>180</v>
      </c>
      <c r="S600" s="4">
        <v>12</v>
      </c>
    </row>
    <row r="601" spans="2:19" ht="11.25" x14ac:dyDescent="0.15">
      <c r="B601" s="3">
        <v>4219154</v>
      </c>
      <c r="C601" s="4">
        <v>590</v>
      </c>
      <c r="D601" s="6" t="s">
        <v>1421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5" t="s">
        <v>674</v>
      </c>
      <c r="P601" s="45">
        <v>20.67</v>
      </c>
      <c r="Q601" s="47">
        <f t="shared" si="9"/>
        <v>21.989361966000001</v>
      </c>
      <c r="R601" s="4">
        <v>180</v>
      </c>
      <c r="S601" s="4">
        <v>12</v>
      </c>
    </row>
    <row r="602" spans="2:19" ht="11.25" x14ac:dyDescent="0.15">
      <c r="B602" s="3">
        <v>4219155</v>
      </c>
      <c r="C602" s="4">
        <v>591</v>
      </c>
      <c r="D602" s="6" t="s">
        <v>1422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5" t="s">
        <v>675</v>
      </c>
      <c r="P602" s="45">
        <v>635.01</v>
      </c>
      <c r="Q602" s="47">
        <f t="shared" si="9"/>
        <v>675.5425612979999</v>
      </c>
      <c r="R602" s="4">
        <v>180</v>
      </c>
      <c r="S602" s="4">
        <v>12</v>
      </c>
    </row>
    <row r="603" spans="2:19" ht="11.25" x14ac:dyDescent="0.15">
      <c r="B603" s="3">
        <v>4219156</v>
      </c>
      <c r="C603" s="4">
        <v>592</v>
      </c>
      <c r="D603" s="6" t="s">
        <v>1423</v>
      </c>
      <c r="E603" s="7" t="s">
        <v>677</v>
      </c>
      <c r="F603" s="7"/>
      <c r="G603" s="7"/>
      <c r="H603" s="7"/>
      <c r="I603" s="7"/>
      <c r="J603" s="7"/>
      <c r="K603" s="7"/>
      <c r="L603" s="7"/>
      <c r="M603" s="7"/>
      <c r="N603" s="7"/>
      <c r="O603" s="5" t="s">
        <v>676</v>
      </c>
      <c r="P603" s="45">
        <v>109.2</v>
      </c>
      <c r="Q603" s="47">
        <f t="shared" si="9"/>
        <v>116.17021416</v>
      </c>
      <c r="R603" s="4">
        <v>180</v>
      </c>
      <c r="S603" s="4">
        <v>12</v>
      </c>
    </row>
    <row r="604" spans="2:19" ht="11.25" x14ac:dyDescent="0.15">
      <c r="B604" s="3">
        <v>4219157</v>
      </c>
      <c r="C604" s="4">
        <v>593</v>
      </c>
      <c r="D604" s="6" t="s">
        <v>1424</v>
      </c>
      <c r="E604" s="7" t="s">
        <v>679</v>
      </c>
      <c r="F604" s="7"/>
      <c r="G604" s="7"/>
      <c r="H604" s="7"/>
      <c r="I604" s="7"/>
      <c r="J604" s="7"/>
      <c r="K604" s="7"/>
      <c r="L604" s="7"/>
      <c r="M604" s="7"/>
      <c r="N604" s="7"/>
      <c r="O604" s="5" t="s">
        <v>678</v>
      </c>
      <c r="P604" s="45">
        <v>109.2</v>
      </c>
      <c r="Q604" s="47">
        <f t="shared" si="9"/>
        <v>116.17021416</v>
      </c>
      <c r="R604" s="4">
        <v>180</v>
      </c>
      <c r="S604" s="4">
        <v>12</v>
      </c>
    </row>
    <row r="605" spans="2:19" ht="11.25" x14ac:dyDescent="0.15">
      <c r="B605" s="3">
        <v>4219158</v>
      </c>
      <c r="C605" s="4">
        <v>594</v>
      </c>
      <c r="D605" s="6" t="s">
        <v>1425</v>
      </c>
      <c r="E605" s="7" t="s">
        <v>681</v>
      </c>
      <c r="F605" s="7"/>
      <c r="G605" s="7"/>
      <c r="H605" s="7"/>
      <c r="I605" s="7"/>
      <c r="J605" s="7"/>
      <c r="K605" s="7"/>
      <c r="L605" s="7"/>
      <c r="M605" s="7"/>
      <c r="N605" s="7"/>
      <c r="O605" s="5" t="s">
        <v>680</v>
      </c>
      <c r="P605" s="45">
        <v>154.69999999999999</v>
      </c>
      <c r="Q605" s="47">
        <f t="shared" si="9"/>
        <v>164.57447005999998</v>
      </c>
      <c r="R605" s="4">
        <v>180</v>
      </c>
      <c r="S605" s="4">
        <v>12</v>
      </c>
    </row>
    <row r="606" spans="2:19" ht="11.25" x14ac:dyDescent="0.15">
      <c r="B606" s="3">
        <v>4219159</v>
      </c>
      <c r="C606" s="4">
        <v>595</v>
      </c>
      <c r="D606" s="6" t="s">
        <v>1426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5" t="s">
        <v>682</v>
      </c>
      <c r="P606" s="45">
        <v>169.32</v>
      </c>
      <c r="Q606" s="47">
        <f t="shared" si="9"/>
        <v>180.12766173599999</v>
      </c>
      <c r="R606" s="4">
        <v>180</v>
      </c>
      <c r="S606" s="4">
        <v>12</v>
      </c>
    </row>
    <row r="607" spans="2:19" ht="11.25" x14ac:dyDescent="0.15">
      <c r="B607" s="3">
        <v>4219160</v>
      </c>
      <c r="C607" s="4">
        <v>596</v>
      </c>
      <c r="D607" s="6" t="s">
        <v>1427</v>
      </c>
      <c r="E607" s="7" t="s">
        <v>684</v>
      </c>
      <c r="F607" s="7"/>
      <c r="G607" s="7"/>
      <c r="H607" s="7"/>
      <c r="I607" s="7"/>
      <c r="J607" s="7"/>
      <c r="K607" s="7"/>
      <c r="L607" s="7"/>
      <c r="M607" s="7"/>
      <c r="N607" s="7"/>
      <c r="O607" s="5" t="s">
        <v>683</v>
      </c>
      <c r="P607" s="45">
        <v>2267.34</v>
      </c>
      <c r="Q607" s="47">
        <f t="shared" si="9"/>
        <v>2412.063858732</v>
      </c>
      <c r="R607" s="4">
        <v>180</v>
      </c>
      <c r="S607" s="4">
        <v>12</v>
      </c>
    </row>
    <row r="608" spans="2:19" ht="11.25" x14ac:dyDescent="0.15">
      <c r="B608" s="3">
        <v>4219161</v>
      </c>
      <c r="C608" s="4">
        <v>597</v>
      </c>
      <c r="D608" s="6" t="s">
        <v>1428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5" t="s">
        <v>685</v>
      </c>
      <c r="P608" s="45">
        <v>3745.43</v>
      </c>
      <c r="Q608" s="47">
        <f t="shared" si="9"/>
        <v>3984.5000478139996</v>
      </c>
      <c r="R608" s="4">
        <v>180</v>
      </c>
      <c r="S608" s="4">
        <v>12</v>
      </c>
    </row>
    <row r="609" spans="2:19" ht="11.25" x14ac:dyDescent="0.15">
      <c r="B609" s="3">
        <v>4219162</v>
      </c>
      <c r="C609" s="4">
        <v>598</v>
      </c>
      <c r="D609" s="6" t="s">
        <v>1429</v>
      </c>
      <c r="E609" s="7" t="s">
        <v>687</v>
      </c>
      <c r="F609" s="7"/>
      <c r="G609" s="7"/>
      <c r="H609" s="7"/>
      <c r="I609" s="7"/>
      <c r="J609" s="7"/>
      <c r="K609" s="7"/>
      <c r="L609" s="7"/>
      <c r="M609" s="7"/>
      <c r="N609" s="7"/>
      <c r="O609" s="5" t="s">
        <v>686</v>
      </c>
      <c r="P609" s="45">
        <v>383.74</v>
      </c>
      <c r="Q609" s="47">
        <f t="shared" si="9"/>
        <v>408.23404745199997</v>
      </c>
      <c r="R609" s="4">
        <v>180</v>
      </c>
      <c r="S609" s="4">
        <v>12</v>
      </c>
    </row>
    <row r="610" spans="2:19" ht="11.25" x14ac:dyDescent="0.15">
      <c r="B610" s="3">
        <v>4219163</v>
      </c>
      <c r="C610" s="4">
        <v>599</v>
      </c>
      <c r="D610" s="6" t="s">
        <v>1430</v>
      </c>
      <c r="E610" s="7" t="s">
        <v>689</v>
      </c>
      <c r="F610" s="7"/>
      <c r="G610" s="7"/>
      <c r="H610" s="7"/>
      <c r="I610" s="7"/>
      <c r="J610" s="7"/>
      <c r="K610" s="7"/>
      <c r="L610" s="7"/>
      <c r="M610" s="7"/>
      <c r="N610" s="7"/>
      <c r="O610" s="5" t="s">
        <v>688</v>
      </c>
      <c r="P610" s="45">
        <v>685.48</v>
      </c>
      <c r="Q610" s="47">
        <f t="shared" si="9"/>
        <v>729.23405130399999</v>
      </c>
      <c r="R610" s="4">
        <v>180</v>
      </c>
      <c r="S610" s="4">
        <v>12</v>
      </c>
    </row>
    <row r="611" spans="2:19" ht="11.25" x14ac:dyDescent="0.15">
      <c r="B611" s="3">
        <v>4219164</v>
      </c>
      <c r="C611" s="4">
        <v>600</v>
      </c>
      <c r="D611" s="6" t="s">
        <v>1431</v>
      </c>
      <c r="E611" s="7" t="s">
        <v>691</v>
      </c>
      <c r="F611" s="7"/>
      <c r="G611" s="7"/>
      <c r="H611" s="7"/>
      <c r="I611" s="7"/>
      <c r="J611" s="7"/>
      <c r="K611" s="7"/>
      <c r="L611" s="7"/>
      <c r="M611" s="7"/>
      <c r="N611" s="7"/>
      <c r="O611" s="5" t="s">
        <v>690</v>
      </c>
      <c r="P611" s="45">
        <v>179.15</v>
      </c>
      <c r="Q611" s="47">
        <f t="shared" si="9"/>
        <v>190.58510866999998</v>
      </c>
      <c r="R611" s="4">
        <v>180</v>
      </c>
      <c r="S611" s="4">
        <v>12</v>
      </c>
    </row>
    <row r="612" spans="2:19" ht="11.25" x14ac:dyDescent="0.15">
      <c r="B612" s="3">
        <v>4219165</v>
      </c>
      <c r="C612" s="4">
        <v>601</v>
      </c>
      <c r="D612" s="6" t="s">
        <v>1432</v>
      </c>
      <c r="E612" s="7" t="s">
        <v>693</v>
      </c>
      <c r="F612" s="7"/>
      <c r="G612" s="7"/>
      <c r="H612" s="7"/>
      <c r="I612" s="7"/>
      <c r="J612" s="7"/>
      <c r="K612" s="7"/>
      <c r="L612" s="7"/>
      <c r="M612" s="7"/>
      <c r="N612" s="7"/>
      <c r="O612" s="5" t="s">
        <v>692</v>
      </c>
      <c r="P612" s="45">
        <v>468.71</v>
      </c>
      <c r="Q612" s="47">
        <f t="shared" si="9"/>
        <v>498.62766555799993</v>
      </c>
      <c r="R612" s="4">
        <v>180</v>
      </c>
      <c r="S612" s="4">
        <v>12</v>
      </c>
    </row>
    <row r="613" spans="2:19" ht="11.25" x14ac:dyDescent="0.15">
      <c r="B613" s="3">
        <v>4219166</v>
      </c>
      <c r="C613" s="4">
        <v>602</v>
      </c>
      <c r="D613" s="6" t="s">
        <v>1433</v>
      </c>
      <c r="E613" s="7" t="s">
        <v>695</v>
      </c>
      <c r="F613" s="7"/>
      <c r="G613" s="7"/>
      <c r="H613" s="7"/>
      <c r="I613" s="7"/>
      <c r="J613" s="7"/>
      <c r="K613" s="7"/>
      <c r="L613" s="7"/>
      <c r="M613" s="7"/>
      <c r="N613" s="7"/>
      <c r="O613" s="5" t="s">
        <v>694</v>
      </c>
      <c r="P613" s="45">
        <v>11.21</v>
      </c>
      <c r="Q613" s="47">
        <f t="shared" si="9"/>
        <v>11.925532058</v>
      </c>
      <c r="R613" s="4">
        <v>180</v>
      </c>
      <c r="S613" s="4">
        <v>12</v>
      </c>
    </row>
    <row r="614" spans="2:19" ht="11.25" x14ac:dyDescent="0.15">
      <c r="B614" s="3">
        <v>4219167</v>
      </c>
      <c r="C614" s="4">
        <v>603</v>
      </c>
      <c r="D614" s="6" t="s">
        <v>1434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5" t="s">
        <v>696</v>
      </c>
      <c r="P614" s="45">
        <v>43.8</v>
      </c>
      <c r="Q614" s="47">
        <f t="shared" si="9"/>
        <v>46.595745239999992</v>
      </c>
      <c r="R614" s="4">
        <v>180</v>
      </c>
      <c r="S614" s="4">
        <v>12</v>
      </c>
    </row>
    <row r="615" spans="2:19" ht="11.25" x14ac:dyDescent="0.15">
      <c r="B615" s="3">
        <v>4219168</v>
      </c>
      <c r="C615" s="4">
        <v>604</v>
      </c>
      <c r="D615" s="6" t="s">
        <v>1435</v>
      </c>
      <c r="E615" s="7" t="s">
        <v>698</v>
      </c>
      <c r="F615" s="7"/>
      <c r="G615" s="7"/>
      <c r="H615" s="7"/>
      <c r="I615" s="7"/>
      <c r="J615" s="7"/>
      <c r="K615" s="7"/>
      <c r="L615" s="7"/>
      <c r="M615" s="7"/>
      <c r="N615" s="7"/>
      <c r="O615" s="5" t="s">
        <v>697</v>
      </c>
      <c r="P615" s="45">
        <v>494.95</v>
      </c>
      <c r="Q615" s="47">
        <f t="shared" si="9"/>
        <v>526.54255950999993</v>
      </c>
      <c r="R615" s="4">
        <v>180</v>
      </c>
      <c r="S615" s="4">
        <v>12</v>
      </c>
    </row>
    <row r="616" spans="2:19" ht="11.25" x14ac:dyDescent="0.15">
      <c r="B616" s="3">
        <v>4219169</v>
      </c>
      <c r="C616" s="4">
        <v>605</v>
      </c>
      <c r="D616" s="6" t="s">
        <v>1436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5" t="s">
        <v>699</v>
      </c>
      <c r="P616" s="45">
        <v>89.24</v>
      </c>
      <c r="Q616" s="47">
        <f t="shared" si="9"/>
        <v>94.936171351999988</v>
      </c>
      <c r="R616" s="4">
        <v>180</v>
      </c>
      <c r="S616" s="4">
        <v>12</v>
      </c>
    </row>
    <row r="617" spans="2:19" ht="11.25" x14ac:dyDescent="0.15">
      <c r="B617" s="3">
        <v>4219170</v>
      </c>
      <c r="C617" s="4">
        <v>606</v>
      </c>
      <c r="D617" s="6" t="s">
        <v>1437</v>
      </c>
      <c r="E617" s="7" t="s">
        <v>48</v>
      </c>
      <c r="F617" s="7"/>
      <c r="G617" s="7"/>
      <c r="H617" s="7"/>
      <c r="I617" s="7"/>
      <c r="J617" s="7"/>
      <c r="K617" s="7"/>
      <c r="L617" s="7"/>
      <c r="M617" s="7"/>
      <c r="N617" s="7"/>
      <c r="O617" s="5" t="s">
        <v>700</v>
      </c>
      <c r="P617" s="45">
        <v>69.709999999999994</v>
      </c>
      <c r="Q617" s="47">
        <f t="shared" si="9"/>
        <v>74.159575357999984</v>
      </c>
      <c r="R617" s="4">
        <v>180</v>
      </c>
      <c r="S617" s="4">
        <v>12</v>
      </c>
    </row>
    <row r="618" spans="2:19" ht="11.25" x14ac:dyDescent="0.15">
      <c r="B618" s="3">
        <v>4219171</v>
      </c>
      <c r="C618" s="4">
        <v>607</v>
      </c>
      <c r="D618" s="6" t="s">
        <v>1438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5" t="s">
        <v>701</v>
      </c>
      <c r="P618" s="45">
        <v>163.84</v>
      </c>
      <c r="Q618" s="47">
        <f t="shared" si="9"/>
        <v>174.29787443199999</v>
      </c>
      <c r="R618" s="4">
        <v>180</v>
      </c>
      <c r="S618" s="4">
        <v>12</v>
      </c>
    </row>
    <row r="619" spans="2:19" ht="11.25" x14ac:dyDescent="0.15">
      <c r="B619" s="3">
        <v>4219172</v>
      </c>
      <c r="C619" s="4">
        <v>608</v>
      </c>
      <c r="D619" s="6" t="s">
        <v>1439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5" t="s">
        <v>701</v>
      </c>
      <c r="P619" s="45">
        <v>251.53</v>
      </c>
      <c r="Q619" s="47">
        <f t="shared" si="9"/>
        <v>267.58510959399996</v>
      </c>
      <c r="R619" s="4">
        <v>180</v>
      </c>
      <c r="S619" s="4">
        <v>12</v>
      </c>
    </row>
    <row r="620" spans="2:19" ht="11.25" x14ac:dyDescent="0.15">
      <c r="B620" s="3">
        <v>4219173</v>
      </c>
      <c r="C620" s="4">
        <v>609</v>
      </c>
      <c r="D620" s="6" t="s">
        <v>1440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5" t="s">
        <v>701</v>
      </c>
      <c r="P620" s="45">
        <v>300.07</v>
      </c>
      <c r="Q620" s="47">
        <f t="shared" si="9"/>
        <v>319.22340808599995</v>
      </c>
      <c r="R620" s="4">
        <v>180</v>
      </c>
      <c r="S620" s="4">
        <v>12</v>
      </c>
    </row>
    <row r="621" spans="2:19" ht="11.25" x14ac:dyDescent="0.15">
      <c r="B621" s="3">
        <v>4219174</v>
      </c>
      <c r="C621" s="4">
        <v>610</v>
      </c>
      <c r="D621" s="6" t="s">
        <v>1441</v>
      </c>
      <c r="E621" s="7" t="s">
        <v>703</v>
      </c>
      <c r="F621" s="7"/>
      <c r="G621" s="7"/>
      <c r="H621" s="7"/>
      <c r="I621" s="7"/>
      <c r="J621" s="7"/>
      <c r="K621" s="7"/>
      <c r="L621" s="7"/>
      <c r="M621" s="7"/>
      <c r="N621" s="7"/>
      <c r="O621" s="5" t="s">
        <v>702</v>
      </c>
      <c r="P621" s="45">
        <v>258.45999999999998</v>
      </c>
      <c r="Q621" s="47">
        <f t="shared" si="9"/>
        <v>274.95745010799999</v>
      </c>
      <c r="R621" s="4">
        <v>180</v>
      </c>
      <c r="S621" s="4">
        <v>12</v>
      </c>
    </row>
    <row r="622" spans="2:19" ht="11.25" x14ac:dyDescent="0.15">
      <c r="B622" s="3">
        <v>4219175</v>
      </c>
      <c r="C622" s="4">
        <v>611</v>
      </c>
      <c r="D622" s="6" t="s">
        <v>1442</v>
      </c>
      <c r="E622" s="7" t="s">
        <v>705</v>
      </c>
      <c r="F622" s="7"/>
      <c r="G622" s="7"/>
      <c r="H622" s="7"/>
      <c r="I622" s="7"/>
      <c r="J622" s="7"/>
      <c r="K622" s="7"/>
      <c r="L622" s="7"/>
      <c r="M622" s="7"/>
      <c r="N622" s="7"/>
      <c r="O622" s="5" t="s">
        <v>704</v>
      </c>
      <c r="P622" s="45">
        <v>373.74</v>
      </c>
      <c r="Q622" s="47">
        <f t="shared" si="9"/>
        <v>397.59574945200001</v>
      </c>
      <c r="R622" s="4">
        <v>180</v>
      </c>
      <c r="S622" s="4">
        <v>12</v>
      </c>
    </row>
    <row r="623" spans="2:19" ht="11.25" x14ac:dyDescent="0.15">
      <c r="B623" s="3">
        <v>4219176</v>
      </c>
      <c r="C623" s="4">
        <v>612</v>
      </c>
      <c r="D623" s="6" t="s">
        <v>1443</v>
      </c>
      <c r="E623" s="7" t="s">
        <v>707</v>
      </c>
      <c r="F623" s="7"/>
      <c r="G623" s="7"/>
      <c r="H623" s="7"/>
      <c r="I623" s="7"/>
      <c r="J623" s="7"/>
      <c r="K623" s="7"/>
      <c r="L623" s="7"/>
      <c r="M623" s="7"/>
      <c r="N623" s="7"/>
      <c r="O623" s="5" t="s">
        <v>706</v>
      </c>
      <c r="P623" s="45">
        <v>454.43</v>
      </c>
      <c r="Q623" s="47">
        <f t="shared" si="9"/>
        <v>483.43617601399995</v>
      </c>
      <c r="R623" s="4">
        <v>180</v>
      </c>
      <c r="S623" s="4">
        <v>12</v>
      </c>
    </row>
    <row r="624" spans="2:19" ht="11.25" x14ac:dyDescent="0.15">
      <c r="B624" s="3">
        <v>4219177</v>
      </c>
      <c r="C624" s="4">
        <v>613</v>
      </c>
      <c r="D624" s="6" t="s">
        <v>1444</v>
      </c>
      <c r="E624" s="7" t="s">
        <v>709</v>
      </c>
      <c r="F624" s="7"/>
      <c r="G624" s="7"/>
      <c r="H624" s="7"/>
      <c r="I624" s="7"/>
      <c r="J624" s="7"/>
      <c r="K624" s="7"/>
      <c r="L624" s="7"/>
      <c r="M624" s="7"/>
      <c r="N624" s="7"/>
      <c r="O624" s="5" t="s">
        <v>708</v>
      </c>
      <c r="P624" s="45">
        <v>72.39</v>
      </c>
      <c r="Q624" s="47">
        <f t="shared" si="9"/>
        <v>77.010639221999995</v>
      </c>
      <c r="R624" s="4">
        <v>180</v>
      </c>
      <c r="S624" s="4">
        <v>12</v>
      </c>
    </row>
    <row r="625" spans="2:19" ht="11.25" x14ac:dyDescent="0.15">
      <c r="B625" s="3">
        <v>4219178</v>
      </c>
      <c r="C625" s="4">
        <v>614</v>
      </c>
      <c r="D625" s="6" t="s">
        <v>1445</v>
      </c>
      <c r="E625" s="7" t="s">
        <v>711</v>
      </c>
      <c r="F625" s="7"/>
      <c r="G625" s="7"/>
      <c r="H625" s="7"/>
      <c r="I625" s="7"/>
      <c r="J625" s="7"/>
      <c r="K625" s="7"/>
      <c r="L625" s="7"/>
      <c r="M625" s="7"/>
      <c r="N625" s="7"/>
      <c r="O625" s="5" t="s">
        <v>710</v>
      </c>
      <c r="P625" s="45">
        <v>81</v>
      </c>
      <c r="Q625" s="47">
        <f t="shared" si="9"/>
        <v>86.170213799999999</v>
      </c>
      <c r="R625" s="4">
        <v>180</v>
      </c>
      <c r="S625" s="4">
        <v>12</v>
      </c>
    </row>
    <row r="626" spans="2:19" ht="11.25" x14ac:dyDescent="0.15">
      <c r="B626" s="3">
        <v>4219179</v>
      </c>
      <c r="C626" s="4">
        <v>615</v>
      </c>
      <c r="D626" s="6" t="s">
        <v>1446</v>
      </c>
      <c r="E626" s="7" t="s">
        <v>713</v>
      </c>
      <c r="F626" s="7"/>
      <c r="G626" s="7"/>
      <c r="H626" s="7"/>
      <c r="I626" s="7"/>
      <c r="J626" s="7"/>
      <c r="K626" s="7"/>
      <c r="L626" s="7"/>
      <c r="M626" s="7"/>
      <c r="N626" s="7"/>
      <c r="O626" s="5" t="s">
        <v>712</v>
      </c>
      <c r="P626" s="45">
        <v>154.31</v>
      </c>
      <c r="Q626" s="47">
        <f t="shared" si="9"/>
        <v>164.15957643799999</v>
      </c>
      <c r="R626" s="4">
        <v>180</v>
      </c>
      <c r="S626" s="4">
        <v>12</v>
      </c>
    </row>
    <row r="627" spans="2:19" ht="11.25" x14ac:dyDescent="0.15">
      <c r="B627" s="3">
        <v>4219180</v>
      </c>
      <c r="C627" s="4">
        <v>616</v>
      </c>
      <c r="D627" s="6" t="s">
        <v>1447</v>
      </c>
      <c r="E627" s="7" t="s">
        <v>715</v>
      </c>
      <c r="F627" s="7"/>
      <c r="G627" s="7"/>
      <c r="H627" s="7"/>
      <c r="I627" s="7"/>
      <c r="J627" s="7"/>
      <c r="K627" s="7"/>
      <c r="L627" s="7"/>
      <c r="M627" s="7"/>
      <c r="N627" s="7"/>
      <c r="O627" s="5" t="s">
        <v>714</v>
      </c>
      <c r="P627" s="45">
        <v>123.63</v>
      </c>
      <c r="Q627" s="47">
        <f t="shared" si="9"/>
        <v>131.52127817399997</v>
      </c>
      <c r="R627" s="4">
        <v>180</v>
      </c>
      <c r="S627" s="4">
        <v>12</v>
      </c>
    </row>
    <row r="628" spans="2:19" ht="11.25" x14ac:dyDescent="0.15">
      <c r="B628" s="3">
        <v>4219181</v>
      </c>
      <c r="C628" s="4">
        <v>617</v>
      </c>
      <c r="D628" s="6" t="s">
        <v>1448</v>
      </c>
      <c r="E628" s="7" t="s">
        <v>717</v>
      </c>
      <c r="F628" s="7"/>
      <c r="G628" s="7"/>
      <c r="H628" s="7"/>
      <c r="I628" s="7"/>
      <c r="J628" s="7"/>
      <c r="K628" s="7"/>
      <c r="L628" s="7"/>
      <c r="M628" s="7"/>
      <c r="N628" s="7"/>
      <c r="O628" s="5" t="s">
        <v>716</v>
      </c>
      <c r="P628" s="45">
        <v>137.54</v>
      </c>
      <c r="Q628" s="47">
        <f t="shared" si="9"/>
        <v>146.31915069199999</v>
      </c>
      <c r="R628" s="4">
        <v>180</v>
      </c>
      <c r="S628" s="4">
        <v>12</v>
      </c>
    </row>
    <row r="629" spans="2:19" ht="11.25" x14ac:dyDescent="0.15">
      <c r="B629" s="3">
        <v>4219182</v>
      </c>
      <c r="C629" s="4">
        <v>618</v>
      </c>
      <c r="D629" s="6" t="s">
        <v>1449</v>
      </c>
      <c r="E629" s="7" t="s">
        <v>719</v>
      </c>
      <c r="F629" s="7"/>
      <c r="G629" s="7"/>
      <c r="H629" s="7"/>
      <c r="I629" s="7"/>
      <c r="J629" s="7"/>
      <c r="K629" s="7"/>
      <c r="L629" s="7"/>
      <c r="M629" s="7"/>
      <c r="N629" s="7"/>
      <c r="O629" s="5" t="s">
        <v>718</v>
      </c>
      <c r="P629" s="45">
        <v>323.57</v>
      </c>
      <c r="Q629" s="47">
        <f t="shared" si="9"/>
        <v>344.22340838599996</v>
      </c>
      <c r="R629" s="4">
        <v>180</v>
      </c>
      <c r="S629" s="4">
        <v>12</v>
      </c>
    </row>
    <row r="630" spans="2:19" ht="11.25" x14ac:dyDescent="0.15">
      <c r="B630" s="3">
        <v>4219183</v>
      </c>
      <c r="C630" s="4">
        <v>619</v>
      </c>
      <c r="D630" s="6" t="s">
        <v>1450</v>
      </c>
      <c r="E630" s="7" t="s">
        <v>721</v>
      </c>
      <c r="F630" s="7"/>
      <c r="G630" s="7"/>
      <c r="H630" s="7"/>
      <c r="I630" s="7"/>
      <c r="J630" s="7"/>
      <c r="K630" s="7"/>
      <c r="L630" s="7"/>
      <c r="M630" s="7"/>
      <c r="N630" s="7"/>
      <c r="O630" s="5" t="s">
        <v>720</v>
      </c>
      <c r="P630" s="45">
        <v>38.700000000000003</v>
      </c>
      <c r="Q630" s="47">
        <f t="shared" si="9"/>
        <v>41.170213259999997</v>
      </c>
      <c r="R630" s="4">
        <v>180</v>
      </c>
      <c r="S630" s="4">
        <v>12</v>
      </c>
    </row>
    <row r="631" spans="2:19" ht="11.25" x14ac:dyDescent="0.15">
      <c r="B631" s="3">
        <v>4219184</v>
      </c>
      <c r="C631" s="4">
        <v>620</v>
      </c>
      <c r="D631" s="6" t="s">
        <v>1451</v>
      </c>
      <c r="E631" s="7" t="s">
        <v>723</v>
      </c>
      <c r="F631" s="7"/>
      <c r="G631" s="7"/>
      <c r="H631" s="7"/>
      <c r="I631" s="7"/>
      <c r="J631" s="7"/>
      <c r="K631" s="7"/>
      <c r="L631" s="7"/>
      <c r="M631" s="7"/>
      <c r="N631" s="7"/>
      <c r="O631" s="5" t="s">
        <v>722</v>
      </c>
      <c r="P631" s="45">
        <v>83.99</v>
      </c>
      <c r="Q631" s="47">
        <f t="shared" si="9"/>
        <v>89.35106490199999</v>
      </c>
      <c r="R631" s="4">
        <v>180</v>
      </c>
      <c r="S631" s="4">
        <v>12</v>
      </c>
    </row>
    <row r="632" spans="2:19" ht="11.25" x14ac:dyDescent="0.15">
      <c r="B632" s="3">
        <v>4219185</v>
      </c>
      <c r="C632" s="4">
        <v>621</v>
      </c>
      <c r="D632" s="6" t="s">
        <v>1452</v>
      </c>
      <c r="E632" s="7" t="s">
        <v>725</v>
      </c>
      <c r="F632" s="7"/>
      <c r="G632" s="7"/>
      <c r="H632" s="7"/>
      <c r="I632" s="7"/>
      <c r="J632" s="7"/>
      <c r="K632" s="7"/>
      <c r="L632" s="7"/>
      <c r="M632" s="7"/>
      <c r="N632" s="7"/>
      <c r="O632" s="5" t="s">
        <v>724</v>
      </c>
      <c r="P632" s="45">
        <v>94.43</v>
      </c>
      <c r="Q632" s="47">
        <f t="shared" si="9"/>
        <v>100.45744801400001</v>
      </c>
      <c r="R632" s="4">
        <v>180</v>
      </c>
      <c r="S632" s="4">
        <v>12</v>
      </c>
    </row>
    <row r="633" spans="2:19" ht="11.25" x14ac:dyDescent="0.15">
      <c r="B633" s="3">
        <v>4219186</v>
      </c>
      <c r="C633" s="4">
        <v>622</v>
      </c>
      <c r="D633" s="6" t="s">
        <v>1453</v>
      </c>
      <c r="E633" s="7" t="s">
        <v>727</v>
      </c>
      <c r="F633" s="7"/>
      <c r="G633" s="7"/>
      <c r="H633" s="7"/>
      <c r="I633" s="7"/>
      <c r="J633" s="7"/>
      <c r="K633" s="7"/>
      <c r="L633" s="7"/>
      <c r="M633" s="7"/>
      <c r="N633" s="7"/>
      <c r="O633" s="5" t="s">
        <v>726</v>
      </c>
      <c r="P633" s="45">
        <v>162.47999999999999</v>
      </c>
      <c r="Q633" s="47">
        <f t="shared" si="9"/>
        <v>172.85106590399997</v>
      </c>
      <c r="R633" s="4">
        <v>180</v>
      </c>
      <c r="S633" s="4">
        <v>12</v>
      </c>
    </row>
    <row r="634" spans="2:19" ht="11.25" x14ac:dyDescent="0.15">
      <c r="B634" s="3">
        <v>4219187</v>
      </c>
      <c r="C634" s="4">
        <v>623</v>
      </c>
      <c r="D634" s="6" t="s">
        <v>1454</v>
      </c>
      <c r="E634" s="7" t="s">
        <v>729</v>
      </c>
      <c r="F634" s="7"/>
      <c r="G634" s="7"/>
      <c r="H634" s="7"/>
      <c r="I634" s="7"/>
      <c r="J634" s="7"/>
      <c r="K634" s="7"/>
      <c r="L634" s="7"/>
      <c r="M634" s="7"/>
      <c r="N634" s="7"/>
      <c r="O634" s="5" t="s">
        <v>728</v>
      </c>
      <c r="P634" s="45">
        <v>308.55</v>
      </c>
      <c r="Q634" s="47">
        <f t="shared" si="9"/>
        <v>328.24468479000001</v>
      </c>
      <c r="R634" s="4">
        <v>180</v>
      </c>
      <c r="S634" s="4">
        <v>12</v>
      </c>
    </row>
    <row r="635" spans="2:19" ht="11.25" x14ac:dyDescent="0.15">
      <c r="B635" s="3">
        <v>4219188</v>
      </c>
      <c r="C635" s="4">
        <v>624</v>
      </c>
      <c r="D635" s="6" t="s">
        <v>1455</v>
      </c>
      <c r="E635" s="7" t="s">
        <v>731</v>
      </c>
      <c r="F635" s="7"/>
      <c r="G635" s="7"/>
      <c r="H635" s="7"/>
      <c r="I635" s="7"/>
      <c r="J635" s="7"/>
      <c r="K635" s="7"/>
      <c r="L635" s="7"/>
      <c r="M635" s="7"/>
      <c r="N635" s="7"/>
      <c r="O635" s="5" t="s">
        <v>730</v>
      </c>
      <c r="P635" s="45">
        <v>167.07</v>
      </c>
      <c r="Q635" s="47">
        <f t="shared" si="9"/>
        <v>177.73404468599998</v>
      </c>
      <c r="R635" s="4">
        <v>180</v>
      </c>
      <c r="S635" s="4">
        <v>12</v>
      </c>
    </row>
    <row r="636" spans="2:19" ht="11.25" x14ac:dyDescent="0.15">
      <c r="B636" s="3">
        <v>4219189</v>
      </c>
      <c r="C636" s="4">
        <v>625</v>
      </c>
      <c r="D636" s="6" t="s">
        <v>1456</v>
      </c>
      <c r="E636" s="7" t="s">
        <v>733</v>
      </c>
      <c r="F636" s="7"/>
      <c r="G636" s="7"/>
      <c r="H636" s="7"/>
      <c r="I636" s="7"/>
      <c r="J636" s="7"/>
      <c r="K636" s="7"/>
      <c r="L636" s="7"/>
      <c r="M636" s="7"/>
      <c r="N636" s="7"/>
      <c r="O636" s="5" t="s">
        <v>732</v>
      </c>
      <c r="P636" s="45">
        <v>46.71</v>
      </c>
      <c r="Q636" s="47">
        <f t="shared" si="9"/>
        <v>49.691489957999998</v>
      </c>
      <c r="R636" s="4">
        <v>180</v>
      </c>
      <c r="S636" s="4">
        <v>12</v>
      </c>
    </row>
    <row r="637" spans="2:19" ht="11.25" x14ac:dyDescent="0.15">
      <c r="B637" s="3">
        <v>4219190</v>
      </c>
      <c r="C637" s="4">
        <v>626</v>
      </c>
      <c r="D637" s="6" t="s">
        <v>1457</v>
      </c>
      <c r="E637" s="7" t="s">
        <v>735</v>
      </c>
      <c r="F637" s="7"/>
      <c r="G637" s="7"/>
      <c r="H637" s="7"/>
      <c r="I637" s="7"/>
      <c r="J637" s="7"/>
      <c r="K637" s="7"/>
      <c r="L637" s="7"/>
      <c r="M637" s="7"/>
      <c r="N637" s="7"/>
      <c r="O637" s="5" t="s">
        <v>734</v>
      </c>
      <c r="P637" s="45">
        <v>8.7799999999999994</v>
      </c>
      <c r="Q637" s="47">
        <f t="shared" si="9"/>
        <v>9.340425643999998</v>
      </c>
      <c r="R637" s="4">
        <v>180</v>
      </c>
      <c r="S637" s="4">
        <v>12</v>
      </c>
    </row>
    <row r="638" spans="2:19" ht="11.25" x14ac:dyDescent="0.15">
      <c r="B638" s="3">
        <v>4219191</v>
      </c>
      <c r="C638" s="4">
        <v>627</v>
      </c>
      <c r="D638" s="6" t="s">
        <v>1458</v>
      </c>
      <c r="E638" s="7" t="s">
        <v>737</v>
      </c>
      <c r="F638" s="7"/>
      <c r="G638" s="7"/>
      <c r="H638" s="7"/>
      <c r="I638" s="7"/>
      <c r="J638" s="7"/>
      <c r="K638" s="7"/>
      <c r="L638" s="7"/>
      <c r="M638" s="7"/>
      <c r="N638" s="7"/>
      <c r="O638" s="5" t="s">
        <v>736</v>
      </c>
      <c r="P638" s="45">
        <v>17.02</v>
      </c>
      <c r="Q638" s="47">
        <f t="shared" si="9"/>
        <v>18.106383195999999</v>
      </c>
      <c r="R638" s="4">
        <v>180</v>
      </c>
      <c r="S638" s="4">
        <v>12</v>
      </c>
    </row>
    <row r="639" spans="2:19" ht="11.25" x14ac:dyDescent="0.15">
      <c r="B639" s="3">
        <v>4219192</v>
      </c>
      <c r="C639" s="4">
        <v>628</v>
      </c>
      <c r="D639" s="6" t="s">
        <v>1459</v>
      </c>
      <c r="E639" s="7" t="s">
        <v>739</v>
      </c>
      <c r="F639" s="7"/>
      <c r="G639" s="7"/>
      <c r="H639" s="7"/>
      <c r="I639" s="7"/>
      <c r="J639" s="7"/>
      <c r="K639" s="7"/>
      <c r="L639" s="7"/>
      <c r="M639" s="7"/>
      <c r="N639" s="7"/>
      <c r="O639" s="5" t="s">
        <v>738</v>
      </c>
      <c r="P639" s="45">
        <v>63.6</v>
      </c>
      <c r="Q639" s="47">
        <f t="shared" si="9"/>
        <v>67.659575279999999</v>
      </c>
      <c r="R639" s="4">
        <v>180</v>
      </c>
      <c r="S639" s="4">
        <v>12</v>
      </c>
    </row>
    <row r="640" spans="2:19" ht="11.25" x14ac:dyDescent="0.15">
      <c r="B640" s="3">
        <v>4219193</v>
      </c>
      <c r="C640" s="4">
        <v>629</v>
      </c>
      <c r="D640" s="6" t="s">
        <v>1460</v>
      </c>
      <c r="E640" s="7" t="s">
        <v>741</v>
      </c>
      <c r="F640" s="7"/>
      <c r="G640" s="7"/>
      <c r="H640" s="7"/>
      <c r="I640" s="7"/>
      <c r="J640" s="7"/>
      <c r="K640" s="7"/>
      <c r="L640" s="7"/>
      <c r="M640" s="7"/>
      <c r="N640" s="7"/>
      <c r="O640" s="5" t="s">
        <v>740</v>
      </c>
      <c r="P640" s="45">
        <v>214.38</v>
      </c>
      <c r="Q640" s="47">
        <f t="shared" si="9"/>
        <v>228.06383252399999</v>
      </c>
      <c r="R640" s="4">
        <v>180</v>
      </c>
      <c r="S640" s="4">
        <v>12</v>
      </c>
    </row>
    <row r="641" spans="2:19" ht="11.25" x14ac:dyDescent="0.15">
      <c r="B641" s="3">
        <v>4219194</v>
      </c>
      <c r="C641" s="4">
        <v>630</v>
      </c>
      <c r="D641" s="6" t="s">
        <v>1461</v>
      </c>
      <c r="E641" s="7" t="s">
        <v>743</v>
      </c>
      <c r="F641" s="7"/>
      <c r="G641" s="7"/>
      <c r="H641" s="7"/>
      <c r="I641" s="7"/>
      <c r="J641" s="7"/>
      <c r="K641" s="7"/>
      <c r="L641" s="7"/>
      <c r="M641" s="7"/>
      <c r="N641" s="7"/>
      <c r="O641" s="5" t="s">
        <v>742</v>
      </c>
      <c r="P641" s="45">
        <v>20.46</v>
      </c>
      <c r="Q641" s="47">
        <f t="shared" si="9"/>
        <v>21.765957707999998</v>
      </c>
      <c r="R641" s="4">
        <v>180</v>
      </c>
      <c r="S641" s="4">
        <v>12</v>
      </c>
    </row>
    <row r="642" spans="2:19" ht="11.25" x14ac:dyDescent="0.15">
      <c r="B642" s="3">
        <v>4219195</v>
      </c>
      <c r="C642" s="4">
        <v>631</v>
      </c>
      <c r="D642" s="6" t="s">
        <v>1462</v>
      </c>
      <c r="E642" s="7" t="s">
        <v>741</v>
      </c>
      <c r="F642" s="7"/>
      <c r="G642" s="7"/>
      <c r="H642" s="7"/>
      <c r="I642" s="7"/>
      <c r="J642" s="7"/>
      <c r="K642" s="7"/>
      <c r="L642" s="7"/>
      <c r="M642" s="7"/>
      <c r="N642" s="7"/>
      <c r="O642" s="5" t="s">
        <v>740</v>
      </c>
      <c r="P642" s="45">
        <v>214.38</v>
      </c>
      <c r="Q642" s="47">
        <f t="shared" si="9"/>
        <v>228.06383252399999</v>
      </c>
      <c r="R642" s="4">
        <v>180</v>
      </c>
      <c r="S642" s="4">
        <v>12</v>
      </c>
    </row>
    <row r="643" spans="2:19" ht="11.25" x14ac:dyDescent="0.15">
      <c r="B643" s="3">
        <v>4219196</v>
      </c>
      <c r="C643" s="4">
        <v>632</v>
      </c>
      <c r="D643" s="6" t="s">
        <v>1463</v>
      </c>
      <c r="E643" s="7" t="s">
        <v>745</v>
      </c>
      <c r="F643" s="7"/>
      <c r="G643" s="7"/>
      <c r="H643" s="7"/>
      <c r="I643" s="7"/>
      <c r="J643" s="7"/>
      <c r="K643" s="7"/>
      <c r="L643" s="7"/>
      <c r="M643" s="7"/>
      <c r="N643" s="7"/>
      <c r="O643" s="5" t="s">
        <v>744</v>
      </c>
      <c r="P643" s="45">
        <v>213.73</v>
      </c>
      <c r="Q643" s="47">
        <f t="shared" si="9"/>
        <v>227.37234315399996</v>
      </c>
      <c r="R643" s="4">
        <v>180</v>
      </c>
      <c r="S643" s="4">
        <v>12</v>
      </c>
    </row>
    <row r="644" spans="2:19" ht="11.25" x14ac:dyDescent="0.15">
      <c r="B644" s="3">
        <v>4219197</v>
      </c>
      <c r="C644" s="4">
        <v>633</v>
      </c>
      <c r="D644" s="6" t="s">
        <v>1464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5" t="s">
        <v>746</v>
      </c>
      <c r="P644" s="45">
        <v>161.44</v>
      </c>
      <c r="Q644" s="47">
        <f t="shared" si="9"/>
        <v>171.74468291199997</v>
      </c>
      <c r="R644" s="4">
        <v>180</v>
      </c>
      <c r="S644" s="4">
        <v>12</v>
      </c>
    </row>
    <row r="645" spans="2:19" ht="11.25" x14ac:dyDescent="0.15">
      <c r="B645" s="3">
        <v>4219198</v>
      </c>
      <c r="C645" s="4">
        <v>634</v>
      </c>
      <c r="D645" s="6" t="s">
        <v>1465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5" t="s">
        <v>747</v>
      </c>
      <c r="P645" s="45">
        <v>171.61</v>
      </c>
      <c r="Q645" s="47">
        <f t="shared" si="9"/>
        <v>182.563831978</v>
      </c>
      <c r="R645" s="4">
        <v>180</v>
      </c>
      <c r="S645" s="4">
        <v>12</v>
      </c>
    </row>
    <row r="646" spans="2:19" ht="11.25" x14ac:dyDescent="0.15">
      <c r="B646" s="3">
        <v>4219199</v>
      </c>
      <c r="C646" s="4">
        <v>635</v>
      </c>
      <c r="D646" s="6" t="s">
        <v>1466</v>
      </c>
      <c r="E646" s="7" t="s">
        <v>749</v>
      </c>
      <c r="F646" s="7"/>
      <c r="G646" s="7"/>
      <c r="H646" s="7"/>
      <c r="I646" s="7"/>
      <c r="J646" s="7"/>
      <c r="K646" s="7"/>
      <c r="L646" s="7"/>
      <c r="M646" s="7"/>
      <c r="N646" s="7"/>
      <c r="O646" s="5" t="s">
        <v>748</v>
      </c>
      <c r="P646" s="45">
        <v>241.83</v>
      </c>
      <c r="Q646" s="47">
        <f t="shared" si="9"/>
        <v>257.26596053399999</v>
      </c>
      <c r="R646" s="4">
        <v>180</v>
      </c>
      <c r="S646" s="4">
        <v>12</v>
      </c>
    </row>
    <row r="647" spans="2:19" ht="11.25" x14ac:dyDescent="0.15">
      <c r="B647" s="3">
        <v>4219200</v>
      </c>
      <c r="C647" s="4">
        <v>636</v>
      </c>
      <c r="D647" s="6" t="s">
        <v>1467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5" t="s">
        <v>750</v>
      </c>
      <c r="P647" s="45">
        <v>161.44</v>
      </c>
      <c r="Q647" s="47">
        <f t="shared" si="9"/>
        <v>171.74468291199997</v>
      </c>
      <c r="R647" s="4">
        <v>180</v>
      </c>
      <c r="S647" s="4">
        <v>12</v>
      </c>
    </row>
    <row r="648" spans="2:19" ht="11.25" x14ac:dyDescent="0.15">
      <c r="B648" s="3">
        <v>4219201</v>
      </c>
      <c r="C648" s="4">
        <v>637</v>
      </c>
      <c r="D648" s="6" t="s">
        <v>1468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5" t="s">
        <v>751</v>
      </c>
      <c r="P648" s="45">
        <v>171.61</v>
      </c>
      <c r="Q648" s="47">
        <f t="shared" si="9"/>
        <v>182.563831978</v>
      </c>
      <c r="R648" s="4">
        <v>180</v>
      </c>
      <c r="S648" s="4">
        <v>12</v>
      </c>
    </row>
    <row r="649" spans="2:19" ht="11.25" x14ac:dyDescent="0.15">
      <c r="B649" s="3">
        <v>4219202</v>
      </c>
      <c r="C649" s="4">
        <v>638</v>
      </c>
      <c r="D649" s="6" t="s">
        <v>1469</v>
      </c>
      <c r="E649" s="7" t="s">
        <v>749</v>
      </c>
      <c r="F649" s="7"/>
      <c r="G649" s="7"/>
      <c r="H649" s="7"/>
      <c r="I649" s="7"/>
      <c r="J649" s="7"/>
      <c r="K649" s="7"/>
      <c r="L649" s="7"/>
      <c r="M649" s="7"/>
      <c r="N649" s="7"/>
      <c r="O649" s="5" t="s">
        <v>752</v>
      </c>
      <c r="P649" s="45">
        <v>241.83</v>
      </c>
      <c r="Q649" s="47">
        <f t="shared" si="9"/>
        <v>257.26596053399999</v>
      </c>
      <c r="R649" s="4">
        <v>180</v>
      </c>
      <c r="S649" s="4">
        <v>12</v>
      </c>
    </row>
    <row r="650" spans="2:19" ht="11.25" x14ac:dyDescent="0.15">
      <c r="B650" s="3">
        <v>4219203</v>
      </c>
      <c r="C650" s="4">
        <v>639</v>
      </c>
      <c r="D650" s="6" t="s">
        <v>1470</v>
      </c>
      <c r="E650" s="7" t="s">
        <v>754</v>
      </c>
      <c r="F650" s="7"/>
      <c r="G650" s="7"/>
      <c r="H650" s="7"/>
      <c r="I650" s="7"/>
      <c r="J650" s="7"/>
      <c r="K650" s="7"/>
      <c r="L650" s="7"/>
      <c r="M650" s="7"/>
      <c r="N650" s="7"/>
      <c r="O650" s="5" t="s">
        <v>753</v>
      </c>
      <c r="P650" s="45">
        <v>109.46</v>
      </c>
      <c r="Q650" s="47">
        <f t="shared" si="9"/>
        <v>116.44680990799999</v>
      </c>
      <c r="R650" s="4">
        <v>180</v>
      </c>
      <c r="S650" s="4">
        <v>12</v>
      </c>
    </row>
    <row r="651" spans="2:19" ht="11.25" x14ac:dyDescent="0.15">
      <c r="B651" s="3">
        <v>4219204</v>
      </c>
      <c r="C651" s="4">
        <v>640</v>
      </c>
      <c r="D651" s="6" t="s">
        <v>1471</v>
      </c>
      <c r="E651" s="7" t="s">
        <v>756</v>
      </c>
      <c r="F651" s="7"/>
      <c r="G651" s="7"/>
      <c r="H651" s="7"/>
      <c r="I651" s="7"/>
      <c r="J651" s="7"/>
      <c r="K651" s="7"/>
      <c r="L651" s="7"/>
      <c r="M651" s="7"/>
      <c r="N651" s="7"/>
      <c r="O651" s="5" t="s">
        <v>755</v>
      </c>
      <c r="P651" s="45">
        <v>129.78</v>
      </c>
      <c r="Q651" s="47">
        <f t="shared" si="9"/>
        <v>138.06383144399999</v>
      </c>
      <c r="R651" s="4">
        <v>180</v>
      </c>
      <c r="S651" s="4">
        <v>12</v>
      </c>
    </row>
    <row r="652" spans="2:19" ht="11.25" x14ac:dyDescent="0.15">
      <c r="B652" s="3">
        <v>4219205</v>
      </c>
      <c r="C652" s="4">
        <v>641</v>
      </c>
      <c r="D652" s="6" t="s">
        <v>1472</v>
      </c>
      <c r="E652" s="7" t="s">
        <v>754</v>
      </c>
      <c r="F652" s="7"/>
      <c r="G652" s="7"/>
      <c r="H652" s="7"/>
      <c r="I652" s="7"/>
      <c r="J652" s="7"/>
      <c r="K652" s="7"/>
      <c r="L652" s="7"/>
      <c r="M652" s="7"/>
      <c r="N652" s="7"/>
      <c r="O652" s="5" t="s">
        <v>757</v>
      </c>
      <c r="P652" s="45">
        <v>109.46</v>
      </c>
      <c r="Q652" s="47">
        <f t="shared" si="9"/>
        <v>116.44680990799999</v>
      </c>
      <c r="R652" s="4">
        <v>180</v>
      </c>
      <c r="S652" s="4">
        <v>12</v>
      </c>
    </row>
    <row r="653" spans="2:19" ht="11.25" x14ac:dyDescent="0.15">
      <c r="B653" s="3">
        <v>4219206</v>
      </c>
      <c r="C653" s="4">
        <v>642</v>
      </c>
      <c r="D653" s="6" t="s">
        <v>1473</v>
      </c>
      <c r="E653" s="7" t="s">
        <v>759</v>
      </c>
      <c r="F653" s="7"/>
      <c r="G653" s="7"/>
      <c r="H653" s="7"/>
      <c r="I653" s="7"/>
      <c r="J653" s="7"/>
      <c r="K653" s="7"/>
      <c r="L653" s="7"/>
      <c r="M653" s="7"/>
      <c r="N653" s="7"/>
      <c r="O653" s="5" t="s">
        <v>758</v>
      </c>
      <c r="P653" s="45">
        <v>83.46</v>
      </c>
      <c r="Q653" s="47">
        <f t="shared" si="9"/>
        <v>88.78723510799999</v>
      </c>
      <c r="R653" s="4">
        <v>180</v>
      </c>
      <c r="S653" s="4">
        <v>12</v>
      </c>
    </row>
    <row r="654" spans="2:19" ht="11.25" x14ac:dyDescent="0.15">
      <c r="B654" s="3">
        <v>4219207</v>
      </c>
      <c r="C654" s="4">
        <v>643</v>
      </c>
      <c r="D654" s="6" t="s">
        <v>1474</v>
      </c>
      <c r="E654" s="7" t="s">
        <v>761</v>
      </c>
      <c r="F654" s="7"/>
      <c r="G654" s="7"/>
      <c r="H654" s="7"/>
      <c r="I654" s="7"/>
      <c r="J654" s="7"/>
      <c r="K654" s="7"/>
      <c r="L654" s="7"/>
      <c r="M654" s="7"/>
      <c r="N654" s="7"/>
      <c r="O654" s="5" t="s">
        <v>760</v>
      </c>
      <c r="P654" s="45">
        <v>22.45</v>
      </c>
      <c r="Q654" s="47">
        <f t="shared" si="9"/>
        <v>23.882979009999996</v>
      </c>
      <c r="R654" s="4">
        <v>180</v>
      </c>
      <c r="S654" s="4">
        <v>12</v>
      </c>
    </row>
    <row r="655" spans="2:19" ht="11.25" x14ac:dyDescent="0.15">
      <c r="B655" s="3">
        <v>4219208</v>
      </c>
      <c r="C655" s="4">
        <v>644</v>
      </c>
      <c r="D655" s="6" t="s">
        <v>1475</v>
      </c>
      <c r="E655" s="7" t="s">
        <v>759</v>
      </c>
      <c r="F655" s="7"/>
      <c r="G655" s="7"/>
      <c r="H655" s="7"/>
      <c r="I655" s="7"/>
      <c r="J655" s="7"/>
      <c r="K655" s="7"/>
      <c r="L655" s="7"/>
      <c r="M655" s="7"/>
      <c r="N655" s="7"/>
      <c r="O655" s="5" t="s">
        <v>762</v>
      </c>
      <c r="P655" s="45">
        <v>83.46</v>
      </c>
      <c r="Q655" s="47">
        <f t="shared" si="9"/>
        <v>88.78723510799999</v>
      </c>
      <c r="R655" s="4">
        <v>180</v>
      </c>
      <c r="S655" s="4">
        <v>12</v>
      </c>
    </row>
    <row r="656" spans="2:19" ht="11.25" x14ac:dyDescent="0.15">
      <c r="B656" s="3">
        <v>4219209</v>
      </c>
      <c r="C656" s="4">
        <v>645</v>
      </c>
      <c r="D656" s="6" t="s">
        <v>1476</v>
      </c>
      <c r="E656" s="7" t="s">
        <v>764</v>
      </c>
      <c r="F656" s="7"/>
      <c r="G656" s="7"/>
      <c r="H656" s="7"/>
      <c r="I656" s="7"/>
      <c r="J656" s="7"/>
      <c r="K656" s="7"/>
      <c r="L656" s="7"/>
      <c r="M656" s="7"/>
      <c r="N656" s="7"/>
      <c r="O656" s="5" t="s">
        <v>763</v>
      </c>
      <c r="P656" s="45">
        <v>94.16</v>
      </c>
      <c r="Q656" s="47">
        <f t="shared" ref="Q656:Q719" si="10">P656*1.0638298</f>
        <v>100.17021396799998</v>
      </c>
      <c r="R656" s="4">
        <v>180</v>
      </c>
      <c r="S656" s="4">
        <v>12</v>
      </c>
    </row>
    <row r="657" spans="2:19" ht="11.25" x14ac:dyDescent="0.15">
      <c r="B657" s="3">
        <v>4219210</v>
      </c>
      <c r="C657" s="4">
        <v>646</v>
      </c>
      <c r="D657" s="6" t="s">
        <v>1477</v>
      </c>
      <c r="E657" s="7" t="s">
        <v>766</v>
      </c>
      <c r="F657" s="7"/>
      <c r="G657" s="7"/>
      <c r="H657" s="7"/>
      <c r="I657" s="7"/>
      <c r="J657" s="7"/>
      <c r="K657" s="7"/>
      <c r="L657" s="7"/>
      <c r="M657" s="7"/>
      <c r="N657" s="7"/>
      <c r="O657" s="5" t="s">
        <v>765</v>
      </c>
      <c r="P657" s="45">
        <v>17.829999999999998</v>
      </c>
      <c r="Q657" s="47">
        <f t="shared" si="10"/>
        <v>18.968085333999998</v>
      </c>
      <c r="R657" s="4">
        <v>180</v>
      </c>
      <c r="S657" s="4">
        <v>12</v>
      </c>
    </row>
    <row r="658" spans="2:19" ht="11.25" x14ac:dyDescent="0.15">
      <c r="B658" s="3">
        <v>4219211</v>
      </c>
      <c r="C658" s="4">
        <v>647</v>
      </c>
      <c r="D658" s="6" t="s">
        <v>1478</v>
      </c>
      <c r="E658" s="7" t="s">
        <v>768</v>
      </c>
      <c r="F658" s="7"/>
      <c r="G658" s="7"/>
      <c r="H658" s="7"/>
      <c r="I658" s="7"/>
      <c r="J658" s="7"/>
      <c r="K658" s="7"/>
      <c r="L658" s="7"/>
      <c r="M658" s="7"/>
      <c r="N658" s="7"/>
      <c r="O658" s="5" t="s">
        <v>767</v>
      </c>
      <c r="P658" s="45">
        <v>22.45</v>
      </c>
      <c r="Q658" s="47">
        <f t="shared" si="10"/>
        <v>23.882979009999996</v>
      </c>
      <c r="R658" s="4">
        <v>180</v>
      </c>
      <c r="S658" s="4">
        <v>12</v>
      </c>
    </row>
    <row r="659" spans="2:19" ht="11.25" x14ac:dyDescent="0.15">
      <c r="B659" s="3">
        <v>4219212</v>
      </c>
      <c r="C659" s="4">
        <v>648</v>
      </c>
      <c r="D659" s="6" t="s">
        <v>1479</v>
      </c>
      <c r="E659" s="7" t="s">
        <v>759</v>
      </c>
      <c r="F659" s="7"/>
      <c r="G659" s="7"/>
      <c r="H659" s="7"/>
      <c r="I659" s="7"/>
      <c r="J659" s="7"/>
      <c r="K659" s="7"/>
      <c r="L659" s="7"/>
      <c r="M659" s="7"/>
      <c r="N659" s="7"/>
      <c r="O659" s="5" t="s">
        <v>769</v>
      </c>
      <c r="P659" s="45">
        <v>83.46</v>
      </c>
      <c r="Q659" s="47">
        <f t="shared" si="10"/>
        <v>88.78723510799999</v>
      </c>
      <c r="R659" s="4">
        <v>180</v>
      </c>
      <c r="S659" s="4">
        <v>12</v>
      </c>
    </row>
    <row r="660" spans="2:19" ht="11.25" x14ac:dyDescent="0.15">
      <c r="B660" s="3">
        <v>4219213</v>
      </c>
      <c r="C660" s="4">
        <v>649</v>
      </c>
      <c r="D660" s="6" t="s">
        <v>1480</v>
      </c>
      <c r="E660" s="7" t="s">
        <v>761</v>
      </c>
      <c r="F660" s="7"/>
      <c r="G660" s="7"/>
      <c r="H660" s="7"/>
      <c r="I660" s="7"/>
      <c r="J660" s="7"/>
      <c r="K660" s="7"/>
      <c r="L660" s="7"/>
      <c r="M660" s="7"/>
      <c r="N660" s="7"/>
      <c r="O660" s="5" t="s">
        <v>770</v>
      </c>
      <c r="P660" s="45">
        <v>22.45</v>
      </c>
      <c r="Q660" s="47">
        <f t="shared" si="10"/>
        <v>23.882979009999996</v>
      </c>
      <c r="R660" s="4">
        <v>180</v>
      </c>
      <c r="S660" s="4">
        <v>12</v>
      </c>
    </row>
    <row r="661" spans="2:19" ht="11.25" x14ac:dyDescent="0.15">
      <c r="B661" s="3">
        <v>4219214</v>
      </c>
      <c r="C661" s="4">
        <v>650</v>
      </c>
      <c r="D661" s="6" t="s">
        <v>1481</v>
      </c>
      <c r="E661" s="7" t="s">
        <v>759</v>
      </c>
      <c r="F661" s="7"/>
      <c r="G661" s="7"/>
      <c r="H661" s="7"/>
      <c r="I661" s="7"/>
      <c r="J661" s="7"/>
      <c r="K661" s="7"/>
      <c r="L661" s="7"/>
      <c r="M661" s="7"/>
      <c r="N661" s="7"/>
      <c r="O661" s="5" t="s">
        <v>771</v>
      </c>
      <c r="P661" s="45">
        <v>83.46</v>
      </c>
      <c r="Q661" s="47">
        <f t="shared" si="10"/>
        <v>88.78723510799999</v>
      </c>
      <c r="R661" s="4">
        <v>180</v>
      </c>
      <c r="S661" s="4">
        <v>12</v>
      </c>
    </row>
    <row r="662" spans="2:19" ht="11.25" x14ac:dyDescent="0.15">
      <c r="B662" s="3">
        <v>4219215</v>
      </c>
      <c r="C662" s="4">
        <v>651</v>
      </c>
      <c r="D662" s="6" t="s">
        <v>1482</v>
      </c>
      <c r="E662" s="7" t="s">
        <v>764</v>
      </c>
      <c r="F662" s="7"/>
      <c r="G662" s="7"/>
      <c r="H662" s="7"/>
      <c r="I662" s="7"/>
      <c r="J662" s="7"/>
      <c r="K662" s="7"/>
      <c r="L662" s="7"/>
      <c r="M662" s="7"/>
      <c r="N662" s="7"/>
      <c r="O662" s="5" t="s">
        <v>772</v>
      </c>
      <c r="P662" s="45">
        <v>94.16</v>
      </c>
      <c r="Q662" s="47">
        <f t="shared" si="10"/>
        <v>100.17021396799998</v>
      </c>
      <c r="R662" s="4">
        <v>180</v>
      </c>
      <c r="S662" s="4">
        <v>12</v>
      </c>
    </row>
    <row r="663" spans="2:19" ht="11.25" x14ac:dyDescent="0.15">
      <c r="B663" s="3">
        <v>4219216</v>
      </c>
      <c r="C663" s="4">
        <v>652</v>
      </c>
      <c r="D663" s="6" t="s">
        <v>1483</v>
      </c>
      <c r="E663" s="7" t="s">
        <v>766</v>
      </c>
      <c r="F663" s="7"/>
      <c r="G663" s="7"/>
      <c r="H663" s="7"/>
      <c r="I663" s="7"/>
      <c r="J663" s="7"/>
      <c r="K663" s="7"/>
      <c r="L663" s="7"/>
      <c r="M663" s="7"/>
      <c r="N663" s="7"/>
      <c r="O663" s="5" t="s">
        <v>773</v>
      </c>
      <c r="P663" s="45">
        <v>17.829999999999998</v>
      </c>
      <c r="Q663" s="47">
        <f t="shared" si="10"/>
        <v>18.968085333999998</v>
      </c>
      <c r="R663" s="4">
        <v>180</v>
      </c>
      <c r="S663" s="4">
        <v>12</v>
      </c>
    </row>
    <row r="664" spans="2:19" ht="11.25" x14ac:dyDescent="0.15">
      <c r="B664" s="3">
        <v>4219217</v>
      </c>
      <c r="C664" s="4">
        <v>653</v>
      </c>
      <c r="D664" s="6" t="s">
        <v>1484</v>
      </c>
      <c r="E664" s="7" t="s">
        <v>768</v>
      </c>
      <c r="F664" s="7"/>
      <c r="G664" s="7"/>
      <c r="H664" s="7"/>
      <c r="I664" s="7"/>
      <c r="J664" s="7"/>
      <c r="K664" s="7"/>
      <c r="L664" s="7"/>
      <c r="M664" s="7"/>
      <c r="N664" s="7"/>
      <c r="O664" s="5" t="s">
        <v>774</v>
      </c>
      <c r="P664" s="45">
        <v>22.45</v>
      </c>
      <c r="Q664" s="47">
        <f t="shared" si="10"/>
        <v>23.882979009999996</v>
      </c>
      <c r="R664" s="4">
        <v>180</v>
      </c>
      <c r="S664" s="4">
        <v>12</v>
      </c>
    </row>
    <row r="665" spans="2:19" ht="11.25" x14ac:dyDescent="0.15">
      <c r="B665" s="3">
        <v>4219218</v>
      </c>
      <c r="C665" s="4">
        <v>654</v>
      </c>
      <c r="D665" s="6" t="s">
        <v>1485</v>
      </c>
      <c r="E665" s="7" t="s">
        <v>776</v>
      </c>
      <c r="F665" s="7"/>
      <c r="G665" s="7"/>
      <c r="H665" s="7"/>
      <c r="I665" s="7"/>
      <c r="J665" s="7"/>
      <c r="K665" s="7"/>
      <c r="L665" s="7"/>
      <c r="M665" s="7"/>
      <c r="N665" s="7"/>
      <c r="O665" s="5" t="s">
        <v>775</v>
      </c>
      <c r="P665" s="45">
        <v>13780.72</v>
      </c>
      <c r="Q665" s="47">
        <f t="shared" si="10"/>
        <v>14660.340601455999</v>
      </c>
      <c r="R665" s="4">
        <v>180</v>
      </c>
      <c r="S665" s="4">
        <v>12</v>
      </c>
    </row>
    <row r="666" spans="2:19" ht="11.25" x14ac:dyDescent="0.15">
      <c r="B666" s="3">
        <v>4219219</v>
      </c>
      <c r="C666" s="4">
        <v>655</v>
      </c>
      <c r="D666" s="6" t="s">
        <v>1486</v>
      </c>
      <c r="E666" s="7" t="s">
        <v>323</v>
      </c>
      <c r="F666" s="7"/>
      <c r="G666" s="7"/>
      <c r="H666" s="7"/>
      <c r="I666" s="7"/>
      <c r="J666" s="7"/>
      <c r="K666" s="7"/>
      <c r="L666" s="7"/>
      <c r="M666" s="7"/>
      <c r="N666" s="7"/>
      <c r="O666" s="5" t="s">
        <v>777</v>
      </c>
      <c r="P666" s="45">
        <v>15889.72</v>
      </c>
      <c r="Q666" s="47">
        <f t="shared" si="10"/>
        <v>16903.957649655997</v>
      </c>
      <c r="R666" s="4">
        <v>180</v>
      </c>
      <c r="S666" s="4">
        <v>12</v>
      </c>
    </row>
    <row r="667" spans="2:19" ht="11.25" x14ac:dyDescent="0.15">
      <c r="B667" s="3">
        <v>4219220</v>
      </c>
      <c r="C667" s="4">
        <v>656</v>
      </c>
      <c r="D667" s="6" t="s">
        <v>1487</v>
      </c>
      <c r="E667" s="7" t="s">
        <v>779</v>
      </c>
      <c r="F667" s="7"/>
      <c r="G667" s="7"/>
      <c r="H667" s="7"/>
      <c r="I667" s="7"/>
      <c r="J667" s="7"/>
      <c r="K667" s="7"/>
      <c r="L667" s="7"/>
      <c r="M667" s="7"/>
      <c r="N667" s="7"/>
      <c r="O667" s="5" t="s">
        <v>778</v>
      </c>
      <c r="P667" s="45">
        <v>19999.38</v>
      </c>
      <c r="Q667" s="47">
        <f t="shared" si="10"/>
        <v>21275.936425524</v>
      </c>
      <c r="R667" s="4">
        <v>180</v>
      </c>
      <c r="S667" s="4">
        <v>12</v>
      </c>
    </row>
    <row r="668" spans="2:19" ht="11.25" x14ac:dyDescent="0.15">
      <c r="B668" s="3">
        <v>4219221</v>
      </c>
      <c r="C668" s="4">
        <v>657</v>
      </c>
      <c r="D668" s="6" t="s">
        <v>1488</v>
      </c>
      <c r="E668" s="7" t="s">
        <v>781</v>
      </c>
      <c r="F668" s="7"/>
      <c r="G668" s="7"/>
      <c r="H668" s="7"/>
      <c r="I668" s="7"/>
      <c r="J668" s="7"/>
      <c r="K668" s="7"/>
      <c r="L668" s="7"/>
      <c r="M668" s="7"/>
      <c r="N668" s="7"/>
      <c r="O668" s="5" t="s">
        <v>780</v>
      </c>
      <c r="P668" s="45">
        <v>14884.91</v>
      </c>
      <c r="Q668" s="47">
        <f t="shared" si="10"/>
        <v>15835.010828318</v>
      </c>
      <c r="R668" s="4">
        <v>180</v>
      </c>
      <c r="S668" s="4">
        <v>12</v>
      </c>
    </row>
    <row r="669" spans="2:19" ht="11.25" x14ac:dyDescent="0.15">
      <c r="B669" s="3">
        <v>4219222</v>
      </c>
      <c r="C669" s="4">
        <v>658</v>
      </c>
      <c r="D669" s="6" t="s">
        <v>1489</v>
      </c>
      <c r="E669" s="7" t="s">
        <v>290</v>
      </c>
      <c r="F669" s="7"/>
      <c r="G669" s="7"/>
      <c r="H669" s="7"/>
      <c r="I669" s="7"/>
      <c r="J669" s="7"/>
      <c r="K669" s="7"/>
      <c r="L669" s="7"/>
      <c r="M669" s="7"/>
      <c r="N669" s="7"/>
      <c r="O669" s="5" t="s">
        <v>782</v>
      </c>
      <c r="P669" s="45">
        <v>23906.81</v>
      </c>
      <c r="Q669" s="47">
        <f t="shared" si="10"/>
        <v>25432.776900937999</v>
      </c>
      <c r="R669" s="4">
        <v>180</v>
      </c>
      <c r="S669" s="4">
        <v>12</v>
      </c>
    </row>
    <row r="670" spans="2:19" ht="11.25" x14ac:dyDescent="0.15">
      <c r="B670" s="3">
        <v>4219223</v>
      </c>
      <c r="C670" s="4">
        <v>659</v>
      </c>
      <c r="D670" s="6" t="s">
        <v>1490</v>
      </c>
      <c r="E670" s="7" t="s">
        <v>294</v>
      </c>
      <c r="F670" s="7"/>
      <c r="G670" s="7"/>
      <c r="H670" s="7"/>
      <c r="I670" s="7"/>
      <c r="J670" s="7"/>
      <c r="K670" s="7"/>
      <c r="L670" s="7"/>
      <c r="M670" s="7"/>
      <c r="N670" s="7"/>
      <c r="O670" s="5" t="s">
        <v>783</v>
      </c>
      <c r="P670" s="45">
        <v>30018.51</v>
      </c>
      <c r="Q670" s="47">
        <f t="shared" si="10"/>
        <v>31934.585489597997</v>
      </c>
      <c r="R670" s="4">
        <v>180</v>
      </c>
      <c r="S670" s="4">
        <v>12</v>
      </c>
    </row>
    <row r="671" spans="2:19" ht="11.25" x14ac:dyDescent="0.15">
      <c r="B671" s="3">
        <v>4219224</v>
      </c>
      <c r="C671" s="4">
        <v>660</v>
      </c>
      <c r="D671" s="6" t="s">
        <v>1491</v>
      </c>
      <c r="E671" s="7" t="s">
        <v>299</v>
      </c>
      <c r="F671" s="7"/>
      <c r="G671" s="7"/>
      <c r="H671" s="7"/>
      <c r="I671" s="7"/>
      <c r="J671" s="7"/>
      <c r="K671" s="7"/>
      <c r="L671" s="7"/>
      <c r="M671" s="7"/>
      <c r="N671" s="7"/>
      <c r="O671" s="5" t="s">
        <v>784</v>
      </c>
      <c r="P671" s="45">
        <v>33404.53</v>
      </c>
      <c r="Q671" s="47">
        <f t="shared" si="10"/>
        <v>35536.734468994</v>
      </c>
      <c r="R671" s="4">
        <v>180</v>
      </c>
      <c r="S671" s="4">
        <v>12</v>
      </c>
    </row>
    <row r="672" spans="2:19" ht="19.899999999999999" customHeight="1" x14ac:dyDescent="0.15">
      <c r="B672" s="3">
        <v>4219225</v>
      </c>
      <c r="C672" s="4">
        <v>661</v>
      </c>
      <c r="D672" s="6" t="s">
        <v>1492</v>
      </c>
      <c r="E672" s="7" t="s">
        <v>786</v>
      </c>
      <c r="F672" s="7"/>
      <c r="G672" s="7"/>
      <c r="H672" s="7"/>
      <c r="I672" s="7"/>
      <c r="J672" s="7"/>
      <c r="K672" s="7"/>
      <c r="L672" s="7"/>
      <c r="M672" s="7"/>
      <c r="N672" s="7"/>
      <c r="O672" s="5" t="s">
        <v>785</v>
      </c>
      <c r="P672" s="45">
        <v>19442.080000000002</v>
      </c>
      <c r="Q672" s="47">
        <f t="shared" si="10"/>
        <v>20683.064077984</v>
      </c>
      <c r="R672" s="4">
        <v>180</v>
      </c>
      <c r="S672" s="4">
        <v>12</v>
      </c>
    </row>
    <row r="673" spans="2:19" ht="11.25" x14ac:dyDescent="0.15">
      <c r="B673" s="3">
        <v>4219226</v>
      </c>
      <c r="C673" s="4">
        <v>662</v>
      </c>
      <c r="D673" s="6" t="s">
        <v>1493</v>
      </c>
      <c r="E673" s="7" t="s">
        <v>788</v>
      </c>
      <c r="F673" s="7"/>
      <c r="G673" s="7"/>
      <c r="H673" s="7"/>
      <c r="I673" s="7"/>
      <c r="J673" s="7"/>
      <c r="K673" s="7"/>
      <c r="L673" s="7"/>
      <c r="M673" s="7"/>
      <c r="N673" s="7"/>
      <c r="O673" s="5" t="s">
        <v>787</v>
      </c>
      <c r="P673" s="45">
        <v>20433.599999999999</v>
      </c>
      <c r="Q673" s="47">
        <f t="shared" si="10"/>
        <v>21737.872601279996</v>
      </c>
      <c r="R673" s="4">
        <v>180</v>
      </c>
      <c r="S673" s="4">
        <v>12</v>
      </c>
    </row>
    <row r="674" spans="2:19" ht="11.25" x14ac:dyDescent="0.15">
      <c r="B674" s="3">
        <v>4219227</v>
      </c>
      <c r="C674" s="4">
        <v>663</v>
      </c>
      <c r="D674" s="6" t="s">
        <v>1494</v>
      </c>
      <c r="E674" s="7" t="s">
        <v>790</v>
      </c>
      <c r="F674" s="7"/>
      <c r="G674" s="7"/>
      <c r="H674" s="7"/>
      <c r="I674" s="7"/>
      <c r="J674" s="7"/>
      <c r="K674" s="7"/>
      <c r="L674" s="7"/>
      <c r="M674" s="7"/>
      <c r="N674" s="7"/>
      <c r="O674" s="5" t="s">
        <v>789</v>
      </c>
      <c r="P674" s="45">
        <v>14884.91</v>
      </c>
      <c r="Q674" s="47">
        <f t="shared" si="10"/>
        <v>15835.010828318</v>
      </c>
      <c r="R674" s="4">
        <v>180</v>
      </c>
      <c r="S674" s="4">
        <v>12</v>
      </c>
    </row>
    <row r="675" spans="2:19" ht="21" x14ac:dyDescent="0.15">
      <c r="B675" s="3">
        <v>4219228</v>
      </c>
      <c r="C675" s="4">
        <v>664</v>
      </c>
      <c r="D675" s="6" t="s">
        <v>1495</v>
      </c>
      <c r="E675" s="7" t="s">
        <v>792</v>
      </c>
      <c r="F675" s="7"/>
      <c r="G675" s="7"/>
      <c r="H675" s="7"/>
      <c r="I675" s="7"/>
      <c r="J675" s="7"/>
      <c r="K675" s="7"/>
      <c r="L675" s="7"/>
      <c r="M675" s="7"/>
      <c r="N675" s="7"/>
      <c r="O675" s="5" t="s">
        <v>791</v>
      </c>
      <c r="P675" s="45">
        <v>15690.95</v>
      </c>
      <c r="Q675" s="47">
        <f t="shared" si="10"/>
        <v>16692.500200309998</v>
      </c>
      <c r="R675" s="4">
        <v>180</v>
      </c>
      <c r="S675" s="4">
        <v>12</v>
      </c>
    </row>
    <row r="676" spans="2:19" ht="11.25" x14ac:dyDescent="0.15">
      <c r="B676" s="3">
        <v>4219229</v>
      </c>
      <c r="C676" s="4">
        <v>665</v>
      </c>
      <c r="D676" s="6" t="s">
        <v>1496</v>
      </c>
      <c r="E676" s="7" t="s">
        <v>794</v>
      </c>
      <c r="F676" s="7"/>
      <c r="G676" s="7"/>
      <c r="H676" s="7"/>
      <c r="I676" s="7"/>
      <c r="J676" s="7"/>
      <c r="K676" s="7"/>
      <c r="L676" s="7"/>
      <c r="M676" s="7"/>
      <c r="N676" s="7"/>
      <c r="O676" s="5" t="s">
        <v>793</v>
      </c>
      <c r="P676" s="45">
        <v>17909.740000000002</v>
      </c>
      <c r="Q676" s="47">
        <f t="shared" si="10"/>
        <v>19052.915122252001</v>
      </c>
      <c r="R676" s="4">
        <v>180</v>
      </c>
      <c r="S676" s="4">
        <v>12</v>
      </c>
    </row>
    <row r="677" spans="2:19" ht="11.25" x14ac:dyDescent="0.15">
      <c r="B677" s="3">
        <v>4219230</v>
      </c>
      <c r="C677" s="4">
        <v>666</v>
      </c>
      <c r="D677" s="6" t="s">
        <v>1497</v>
      </c>
      <c r="E677" s="7" t="s">
        <v>796</v>
      </c>
      <c r="F677" s="7"/>
      <c r="G677" s="7"/>
      <c r="H677" s="7"/>
      <c r="I677" s="7"/>
      <c r="J677" s="7"/>
      <c r="K677" s="7"/>
      <c r="L677" s="7"/>
      <c r="M677" s="7"/>
      <c r="N677" s="7"/>
      <c r="O677" s="5" t="s">
        <v>795</v>
      </c>
      <c r="P677" s="45">
        <v>12668.73</v>
      </c>
      <c r="Q677" s="47">
        <f t="shared" si="10"/>
        <v>13477.372502153999</v>
      </c>
      <c r="R677" s="4">
        <v>180</v>
      </c>
      <c r="S677" s="4">
        <v>12</v>
      </c>
    </row>
    <row r="678" spans="2:19" ht="21" x14ac:dyDescent="0.15">
      <c r="B678" s="3">
        <v>4219231</v>
      </c>
      <c r="C678" s="4">
        <v>667</v>
      </c>
      <c r="D678" s="6" t="s">
        <v>1498</v>
      </c>
      <c r="E678" s="7" t="s">
        <v>798</v>
      </c>
      <c r="F678" s="7"/>
      <c r="G678" s="7"/>
      <c r="H678" s="7"/>
      <c r="I678" s="7"/>
      <c r="J678" s="7"/>
      <c r="K678" s="7"/>
      <c r="L678" s="7"/>
      <c r="M678" s="7"/>
      <c r="N678" s="7"/>
      <c r="O678" s="5" t="s">
        <v>797</v>
      </c>
      <c r="P678" s="45">
        <v>12617.59</v>
      </c>
      <c r="Q678" s="47">
        <f t="shared" si="10"/>
        <v>13422.968246181999</v>
      </c>
      <c r="R678" s="4">
        <v>180</v>
      </c>
      <c r="S678" s="4">
        <v>12</v>
      </c>
    </row>
    <row r="679" spans="2:19" ht="21" x14ac:dyDescent="0.15">
      <c r="B679" s="3">
        <v>4219232</v>
      </c>
      <c r="C679" s="4">
        <v>668</v>
      </c>
      <c r="D679" s="6" t="s">
        <v>1499</v>
      </c>
      <c r="E679" s="7" t="s">
        <v>800</v>
      </c>
      <c r="F679" s="7"/>
      <c r="G679" s="7"/>
      <c r="H679" s="7"/>
      <c r="I679" s="7"/>
      <c r="J679" s="7"/>
      <c r="K679" s="7"/>
      <c r="L679" s="7"/>
      <c r="M679" s="7"/>
      <c r="N679" s="7"/>
      <c r="O679" s="5" t="s">
        <v>799</v>
      </c>
      <c r="P679" s="45">
        <v>20834.93</v>
      </c>
      <c r="Q679" s="47">
        <f t="shared" si="10"/>
        <v>22164.819414914</v>
      </c>
      <c r="R679" s="4">
        <v>180</v>
      </c>
      <c r="S679" s="4">
        <v>12</v>
      </c>
    </row>
    <row r="680" spans="2:19" ht="11.25" x14ac:dyDescent="0.15">
      <c r="B680" s="3">
        <v>4219233</v>
      </c>
      <c r="C680" s="4">
        <v>669</v>
      </c>
      <c r="D680" s="6" t="s">
        <v>1500</v>
      </c>
      <c r="E680" s="7" t="s">
        <v>802</v>
      </c>
      <c r="F680" s="7"/>
      <c r="G680" s="7"/>
      <c r="H680" s="7"/>
      <c r="I680" s="7"/>
      <c r="J680" s="7"/>
      <c r="K680" s="7"/>
      <c r="L680" s="7"/>
      <c r="M680" s="7"/>
      <c r="N680" s="7"/>
      <c r="O680" s="5" t="s">
        <v>801</v>
      </c>
      <c r="P680" s="45">
        <v>23013.27</v>
      </c>
      <c r="Q680" s="47">
        <f t="shared" si="10"/>
        <v>24482.202421446</v>
      </c>
      <c r="R680" s="4">
        <v>180</v>
      </c>
      <c r="S680" s="4">
        <v>12</v>
      </c>
    </row>
    <row r="681" spans="2:19" ht="24" customHeight="1" x14ac:dyDescent="0.15">
      <c r="B681" s="3">
        <v>4219234</v>
      </c>
      <c r="C681" s="4">
        <v>670</v>
      </c>
      <c r="D681" s="6" t="s">
        <v>1501</v>
      </c>
      <c r="E681" s="7" t="s">
        <v>804</v>
      </c>
      <c r="F681" s="7"/>
      <c r="G681" s="7"/>
      <c r="H681" s="7"/>
      <c r="I681" s="7"/>
      <c r="J681" s="7"/>
      <c r="K681" s="7"/>
      <c r="L681" s="7"/>
      <c r="M681" s="7"/>
      <c r="N681" s="7"/>
      <c r="O681" s="5" t="s">
        <v>803</v>
      </c>
      <c r="P681" s="45">
        <v>27659.38</v>
      </c>
      <c r="Q681" s="47">
        <f t="shared" si="10"/>
        <v>29424.872693524001</v>
      </c>
      <c r="R681" s="4">
        <v>180</v>
      </c>
      <c r="S681" s="4">
        <v>12</v>
      </c>
    </row>
    <row r="682" spans="2:19" ht="11.25" x14ac:dyDescent="0.15">
      <c r="B682" s="3">
        <v>4219235</v>
      </c>
      <c r="C682" s="4">
        <v>671</v>
      </c>
      <c r="D682" s="6" t="s">
        <v>1502</v>
      </c>
      <c r="E682" s="7" t="s">
        <v>806</v>
      </c>
      <c r="F682" s="7"/>
      <c r="G682" s="7"/>
      <c r="H682" s="7"/>
      <c r="I682" s="7"/>
      <c r="J682" s="7"/>
      <c r="K682" s="7"/>
      <c r="L682" s="7"/>
      <c r="M682" s="7"/>
      <c r="N682" s="7"/>
      <c r="O682" s="5" t="s">
        <v>805</v>
      </c>
      <c r="P682" s="45">
        <v>54013.49</v>
      </c>
      <c r="Q682" s="47">
        <f t="shared" si="10"/>
        <v>57461.160264001992</v>
      </c>
      <c r="R682" s="4">
        <v>180</v>
      </c>
      <c r="S682" s="4">
        <v>12</v>
      </c>
    </row>
    <row r="683" spans="2:19" ht="11.25" x14ac:dyDescent="0.15">
      <c r="B683" s="3">
        <v>4219236</v>
      </c>
      <c r="C683" s="4">
        <v>672</v>
      </c>
      <c r="D683" s="6" t="s">
        <v>1503</v>
      </c>
      <c r="E683" s="7" t="s">
        <v>369</v>
      </c>
      <c r="F683" s="7"/>
      <c r="G683" s="7"/>
      <c r="H683" s="7"/>
      <c r="I683" s="7"/>
      <c r="J683" s="7"/>
      <c r="K683" s="7"/>
      <c r="L683" s="7"/>
      <c r="M683" s="7"/>
      <c r="N683" s="7"/>
      <c r="O683" s="5" t="s">
        <v>807</v>
      </c>
      <c r="P683" s="45">
        <v>2970.46</v>
      </c>
      <c r="Q683" s="47">
        <f t="shared" si="10"/>
        <v>3160.0638677079996</v>
      </c>
      <c r="R683" s="4">
        <v>180</v>
      </c>
      <c r="S683" s="4">
        <v>12</v>
      </c>
    </row>
    <row r="684" spans="2:19" ht="11.25" x14ac:dyDescent="0.15">
      <c r="B684" s="3">
        <v>4219237</v>
      </c>
      <c r="C684" s="4">
        <v>673</v>
      </c>
      <c r="D684" s="6" t="s">
        <v>1504</v>
      </c>
      <c r="E684" s="7" t="s">
        <v>809</v>
      </c>
      <c r="F684" s="7"/>
      <c r="G684" s="7"/>
      <c r="H684" s="7"/>
      <c r="I684" s="7"/>
      <c r="J684" s="7"/>
      <c r="K684" s="7"/>
      <c r="L684" s="7"/>
      <c r="M684" s="7"/>
      <c r="N684" s="7"/>
      <c r="O684" s="5" t="s">
        <v>808</v>
      </c>
      <c r="P684" s="45">
        <v>3526.29</v>
      </c>
      <c r="Q684" s="47">
        <f t="shared" si="10"/>
        <v>3751.3723854419995</v>
      </c>
      <c r="R684" s="4">
        <v>180</v>
      </c>
      <c r="S684" s="4">
        <v>12</v>
      </c>
    </row>
    <row r="685" spans="2:19" ht="11.25" x14ac:dyDescent="0.15">
      <c r="B685" s="3">
        <v>4219238</v>
      </c>
      <c r="C685" s="4">
        <v>674</v>
      </c>
      <c r="D685" s="6" t="s">
        <v>1505</v>
      </c>
      <c r="E685" s="7" t="s">
        <v>811</v>
      </c>
      <c r="F685" s="7"/>
      <c r="G685" s="7"/>
      <c r="H685" s="7"/>
      <c r="I685" s="7"/>
      <c r="J685" s="7"/>
      <c r="K685" s="7"/>
      <c r="L685" s="7"/>
      <c r="M685" s="7"/>
      <c r="N685" s="7"/>
      <c r="O685" s="5" t="s">
        <v>810</v>
      </c>
      <c r="P685" s="45">
        <v>137.34</v>
      </c>
      <c r="Q685" s="47">
        <f t="shared" si="10"/>
        <v>146.10638473199998</v>
      </c>
      <c r="R685" s="4">
        <v>180</v>
      </c>
      <c r="S685" s="4">
        <v>12</v>
      </c>
    </row>
    <row r="686" spans="2:19" ht="11.25" x14ac:dyDescent="0.15">
      <c r="B686" s="3">
        <v>4219239</v>
      </c>
      <c r="C686" s="4">
        <v>675</v>
      </c>
      <c r="D686" s="6" t="s">
        <v>1506</v>
      </c>
      <c r="E686" s="7" t="s">
        <v>813</v>
      </c>
      <c r="F686" s="7"/>
      <c r="G686" s="7"/>
      <c r="H686" s="7"/>
      <c r="I686" s="7"/>
      <c r="J686" s="7"/>
      <c r="K686" s="7"/>
      <c r="L686" s="7"/>
      <c r="M686" s="7"/>
      <c r="N686" s="7"/>
      <c r="O686" s="5" t="s">
        <v>812</v>
      </c>
      <c r="P686" s="45">
        <v>3526.29</v>
      </c>
      <c r="Q686" s="47">
        <f t="shared" si="10"/>
        <v>3751.3723854419995</v>
      </c>
      <c r="R686" s="4">
        <v>180</v>
      </c>
      <c r="S686" s="4">
        <v>12</v>
      </c>
    </row>
    <row r="687" spans="2:19" ht="11.25" x14ac:dyDescent="0.15">
      <c r="B687" s="3">
        <v>4219240</v>
      </c>
      <c r="C687" s="4">
        <v>676</v>
      </c>
      <c r="D687" s="6" t="s">
        <v>1507</v>
      </c>
      <c r="E687" s="7" t="s">
        <v>815</v>
      </c>
      <c r="F687" s="7"/>
      <c r="G687" s="7"/>
      <c r="H687" s="7"/>
      <c r="I687" s="7"/>
      <c r="J687" s="7"/>
      <c r="K687" s="7"/>
      <c r="L687" s="7"/>
      <c r="M687" s="7"/>
      <c r="N687" s="7"/>
      <c r="O687" s="5" t="s">
        <v>814</v>
      </c>
      <c r="P687" s="45">
        <v>3526.29</v>
      </c>
      <c r="Q687" s="47">
        <f t="shared" si="10"/>
        <v>3751.3723854419995</v>
      </c>
      <c r="R687" s="4">
        <v>180</v>
      </c>
      <c r="S687" s="4">
        <v>12</v>
      </c>
    </row>
    <row r="688" spans="2:19" ht="11.25" x14ac:dyDescent="0.15">
      <c r="B688" s="3">
        <v>4219241</v>
      </c>
      <c r="C688" s="4">
        <v>677</v>
      </c>
      <c r="D688" s="6" t="s">
        <v>1508</v>
      </c>
      <c r="E688" s="7" t="s">
        <v>817</v>
      </c>
      <c r="F688" s="7"/>
      <c r="G688" s="7"/>
      <c r="H688" s="7"/>
      <c r="I688" s="7"/>
      <c r="J688" s="7"/>
      <c r="K688" s="7"/>
      <c r="L688" s="7"/>
      <c r="M688" s="7"/>
      <c r="N688" s="7"/>
      <c r="O688" s="5" t="s">
        <v>816</v>
      </c>
      <c r="P688" s="45">
        <v>4948.51</v>
      </c>
      <c r="Q688" s="47">
        <f t="shared" si="10"/>
        <v>5264.3724035980003</v>
      </c>
      <c r="R688" s="4">
        <v>180</v>
      </c>
      <c r="S688" s="4">
        <v>12</v>
      </c>
    </row>
    <row r="689" spans="2:19" ht="11.25" x14ac:dyDescent="0.15">
      <c r="B689" s="3">
        <v>4219242</v>
      </c>
      <c r="C689" s="4">
        <v>678</v>
      </c>
      <c r="D689" s="6" t="s">
        <v>1509</v>
      </c>
      <c r="E689" s="7" t="s">
        <v>819</v>
      </c>
      <c r="F689" s="7"/>
      <c r="G689" s="7"/>
      <c r="H689" s="7"/>
      <c r="I689" s="7"/>
      <c r="J689" s="7"/>
      <c r="K689" s="7"/>
      <c r="L689" s="7"/>
      <c r="M689" s="7"/>
      <c r="N689" s="7"/>
      <c r="O689" s="5" t="s">
        <v>818</v>
      </c>
      <c r="P689" s="45">
        <v>6569.32</v>
      </c>
      <c r="Q689" s="47">
        <f t="shared" si="10"/>
        <v>6988.6383817359992</v>
      </c>
      <c r="R689" s="4">
        <v>180</v>
      </c>
      <c r="S689" s="4">
        <v>12</v>
      </c>
    </row>
    <row r="690" spans="2:19" ht="11.25" x14ac:dyDescent="0.15">
      <c r="B690" s="3">
        <v>4219243</v>
      </c>
      <c r="C690" s="4">
        <v>679</v>
      </c>
      <c r="D690" s="6" t="s">
        <v>1510</v>
      </c>
      <c r="E690" s="7" t="s">
        <v>819</v>
      </c>
      <c r="F690" s="7"/>
      <c r="G690" s="7"/>
      <c r="H690" s="7"/>
      <c r="I690" s="7"/>
      <c r="J690" s="7"/>
      <c r="K690" s="7"/>
      <c r="L690" s="7"/>
      <c r="M690" s="7"/>
      <c r="N690" s="7"/>
      <c r="O690" s="5" t="s">
        <v>820</v>
      </c>
      <c r="P690" s="45">
        <v>6569.32</v>
      </c>
      <c r="Q690" s="47">
        <f t="shared" si="10"/>
        <v>6988.6383817359992</v>
      </c>
      <c r="R690" s="4">
        <v>180</v>
      </c>
      <c r="S690" s="4">
        <v>12</v>
      </c>
    </row>
    <row r="691" spans="2:19" ht="11.25" x14ac:dyDescent="0.15">
      <c r="B691" s="3">
        <v>4219244</v>
      </c>
      <c r="C691" s="4">
        <v>680</v>
      </c>
      <c r="D691" s="6" t="s">
        <v>1511</v>
      </c>
      <c r="E691" s="7" t="s">
        <v>822</v>
      </c>
      <c r="F691" s="7"/>
      <c r="G691" s="7"/>
      <c r="H691" s="7"/>
      <c r="I691" s="7"/>
      <c r="J691" s="7"/>
      <c r="K691" s="7"/>
      <c r="L691" s="7"/>
      <c r="M691" s="7"/>
      <c r="N691" s="7"/>
      <c r="O691" s="5" t="s">
        <v>821</v>
      </c>
      <c r="P691" s="45">
        <v>7145.07</v>
      </c>
      <c r="Q691" s="47">
        <f t="shared" si="10"/>
        <v>7601.1383890859988</v>
      </c>
      <c r="R691" s="4">
        <v>180</v>
      </c>
      <c r="S691" s="4">
        <v>12</v>
      </c>
    </row>
    <row r="692" spans="2:19" ht="11.25" x14ac:dyDescent="0.15">
      <c r="B692" s="3">
        <v>4219245</v>
      </c>
      <c r="C692" s="4">
        <v>681</v>
      </c>
      <c r="D692" s="6" t="s">
        <v>1512</v>
      </c>
      <c r="E692" s="7" t="s">
        <v>824</v>
      </c>
      <c r="F692" s="7"/>
      <c r="G692" s="7"/>
      <c r="H692" s="7"/>
      <c r="I692" s="7"/>
      <c r="J692" s="7"/>
      <c r="K692" s="7"/>
      <c r="L692" s="7"/>
      <c r="M692" s="7"/>
      <c r="N692" s="7"/>
      <c r="O692" s="5" t="s">
        <v>823</v>
      </c>
      <c r="P692" s="45">
        <v>7873.29</v>
      </c>
      <c r="Q692" s="47">
        <f t="shared" si="10"/>
        <v>8375.8405260419986</v>
      </c>
      <c r="R692" s="4">
        <v>180</v>
      </c>
      <c r="S692" s="4">
        <v>12</v>
      </c>
    </row>
    <row r="693" spans="2:19" ht="11.25" x14ac:dyDescent="0.15">
      <c r="B693" s="3">
        <v>4219246</v>
      </c>
      <c r="C693" s="4">
        <v>682</v>
      </c>
      <c r="D693" s="6" t="s">
        <v>1513</v>
      </c>
      <c r="E693" s="7" t="s">
        <v>826</v>
      </c>
      <c r="F693" s="7"/>
      <c r="G693" s="7"/>
      <c r="H693" s="7"/>
      <c r="I693" s="7"/>
      <c r="J693" s="7"/>
      <c r="K693" s="7"/>
      <c r="L693" s="7"/>
      <c r="M693" s="7"/>
      <c r="N693" s="7"/>
      <c r="O693" s="5" t="s">
        <v>825</v>
      </c>
      <c r="P693" s="45">
        <v>9389.5499999999993</v>
      </c>
      <c r="Q693" s="47">
        <f t="shared" si="10"/>
        <v>9988.8830985899986</v>
      </c>
      <c r="R693" s="4">
        <v>180</v>
      </c>
      <c r="S693" s="4">
        <v>12</v>
      </c>
    </row>
    <row r="694" spans="2:19" ht="11.25" x14ac:dyDescent="0.15">
      <c r="B694" s="3">
        <v>4219247</v>
      </c>
      <c r="C694" s="4">
        <v>683</v>
      </c>
      <c r="D694" s="6" t="s">
        <v>1514</v>
      </c>
      <c r="E694" s="7" t="s">
        <v>824</v>
      </c>
      <c r="F694" s="7"/>
      <c r="G694" s="7"/>
      <c r="H694" s="7"/>
      <c r="I694" s="7"/>
      <c r="J694" s="7"/>
      <c r="K694" s="7"/>
      <c r="L694" s="7"/>
      <c r="M694" s="7"/>
      <c r="N694" s="7"/>
      <c r="O694" s="5" t="s">
        <v>827</v>
      </c>
      <c r="P694" s="45">
        <v>7873.29</v>
      </c>
      <c r="Q694" s="47">
        <f t="shared" si="10"/>
        <v>8375.8405260419986</v>
      </c>
      <c r="R694" s="4">
        <v>180</v>
      </c>
      <c r="S694" s="4">
        <v>12</v>
      </c>
    </row>
    <row r="695" spans="2:19" ht="11.25" x14ac:dyDescent="0.15">
      <c r="B695" s="3">
        <v>4219248</v>
      </c>
      <c r="C695" s="4">
        <v>684</v>
      </c>
      <c r="D695" s="6" t="s">
        <v>1515</v>
      </c>
      <c r="E695" s="7" t="s">
        <v>829</v>
      </c>
      <c r="F695" s="7"/>
      <c r="G695" s="7"/>
      <c r="H695" s="7"/>
      <c r="I695" s="7"/>
      <c r="J695" s="7"/>
      <c r="K695" s="7"/>
      <c r="L695" s="7"/>
      <c r="M695" s="7"/>
      <c r="N695" s="7"/>
      <c r="O695" s="5" t="s">
        <v>828</v>
      </c>
      <c r="P695" s="45">
        <v>9884.0400000000009</v>
      </c>
      <c r="Q695" s="47">
        <f t="shared" si="10"/>
        <v>10514.936296392001</v>
      </c>
      <c r="R695" s="4">
        <v>180</v>
      </c>
      <c r="S695" s="4">
        <v>12</v>
      </c>
    </row>
    <row r="696" spans="2:19" ht="11.25" x14ac:dyDescent="0.15">
      <c r="B696" s="3">
        <v>4219249</v>
      </c>
      <c r="C696" s="4">
        <v>685</v>
      </c>
      <c r="D696" s="6" t="s">
        <v>1516</v>
      </c>
      <c r="E696" s="7" t="s">
        <v>831</v>
      </c>
      <c r="F696" s="7"/>
      <c r="G696" s="7"/>
      <c r="H696" s="7"/>
      <c r="I696" s="7"/>
      <c r="J696" s="7"/>
      <c r="K696" s="7"/>
      <c r="L696" s="7"/>
      <c r="M696" s="7"/>
      <c r="N696" s="7"/>
      <c r="O696" s="5" t="s">
        <v>830</v>
      </c>
      <c r="P696" s="45">
        <v>3004.6</v>
      </c>
      <c r="Q696" s="47">
        <f t="shared" si="10"/>
        <v>3196.3830170799997</v>
      </c>
      <c r="R696" s="4">
        <v>180</v>
      </c>
      <c r="S696" s="4">
        <v>12</v>
      </c>
    </row>
    <row r="697" spans="2:19" ht="11.25" x14ac:dyDescent="0.15">
      <c r="B697" s="3">
        <v>4219250</v>
      </c>
      <c r="C697" s="4">
        <v>686</v>
      </c>
      <c r="D697" s="6" t="s">
        <v>1517</v>
      </c>
      <c r="E697" s="7" t="s">
        <v>833</v>
      </c>
      <c r="F697" s="7"/>
      <c r="G697" s="7"/>
      <c r="H697" s="7"/>
      <c r="I697" s="7"/>
      <c r="J697" s="7"/>
      <c r="K697" s="7"/>
      <c r="L697" s="7"/>
      <c r="M697" s="7"/>
      <c r="N697" s="7"/>
      <c r="O697" s="5" t="s">
        <v>832</v>
      </c>
      <c r="P697" s="45">
        <v>3695.23</v>
      </c>
      <c r="Q697" s="47">
        <f t="shared" si="10"/>
        <v>3931.0957918539998</v>
      </c>
      <c r="R697" s="4">
        <v>180</v>
      </c>
      <c r="S697" s="4">
        <v>12</v>
      </c>
    </row>
    <row r="698" spans="2:19" ht="11.25" x14ac:dyDescent="0.15">
      <c r="B698" s="3">
        <v>4219251</v>
      </c>
      <c r="C698" s="4">
        <v>687</v>
      </c>
      <c r="D698" s="6" t="s">
        <v>1518</v>
      </c>
      <c r="E698" s="7" t="s">
        <v>835</v>
      </c>
      <c r="F698" s="7"/>
      <c r="G698" s="7"/>
      <c r="H698" s="7"/>
      <c r="I698" s="7"/>
      <c r="J698" s="7"/>
      <c r="K698" s="7"/>
      <c r="L698" s="7"/>
      <c r="M698" s="7"/>
      <c r="N698" s="7"/>
      <c r="O698" s="5" t="s">
        <v>834</v>
      </c>
      <c r="P698" s="45">
        <v>5768.44</v>
      </c>
      <c r="Q698" s="47">
        <f t="shared" si="10"/>
        <v>6136.6383715119991</v>
      </c>
      <c r="R698" s="4">
        <v>180</v>
      </c>
      <c r="S698" s="4">
        <v>12</v>
      </c>
    </row>
    <row r="699" spans="2:19" ht="11.25" x14ac:dyDescent="0.15">
      <c r="B699" s="3">
        <v>4219252</v>
      </c>
      <c r="C699" s="4">
        <v>688</v>
      </c>
      <c r="D699" s="6" t="s">
        <v>1519</v>
      </c>
      <c r="E699" s="7" t="s">
        <v>835</v>
      </c>
      <c r="F699" s="7"/>
      <c r="G699" s="7"/>
      <c r="H699" s="7"/>
      <c r="I699" s="7"/>
      <c r="J699" s="7"/>
      <c r="K699" s="7"/>
      <c r="L699" s="7"/>
      <c r="M699" s="7"/>
      <c r="N699" s="7"/>
      <c r="O699" s="5" t="s">
        <v>836</v>
      </c>
      <c r="P699" s="45">
        <v>5768.44</v>
      </c>
      <c r="Q699" s="47">
        <f t="shared" si="10"/>
        <v>6136.6383715119991</v>
      </c>
      <c r="R699" s="4">
        <v>180</v>
      </c>
      <c r="S699" s="4">
        <v>12</v>
      </c>
    </row>
    <row r="700" spans="2:19" ht="11.25" x14ac:dyDescent="0.15">
      <c r="B700" s="3">
        <v>4219253</v>
      </c>
      <c r="C700" s="4">
        <v>689</v>
      </c>
      <c r="D700" s="6" t="s">
        <v>1520</v>
      </c>
      <c r="E700" s="7" t="s">
        <v>838</v>
      </c>
      <c r="F700" s="7"/>
      <c r="G700" s="7"/>
      <c r="H700" s="7"/>
      <c r="I700" s="7"/>
      <c r="J700" s="7"/>
      <c r="K700" s="7"/>
      <c r="L700" s="7"/>
      <c r="M700" s="7"/>
      <c r="N700" s="7"/>
      <c r="O700" s="5" t="s">
        <v>837</v>
      </c>
      <c r="P700" s="45">
        <v>686.21</v>
      </c>
      <c r="Q700" s="47">
        <f t="shared" si="10"/>
        <v>730.01064705800002</v>
      </c>
      <c r="R700" s="4">
        <v>180</v>
      </c>
      <c r="S700" s="4">
        <v>12</v>
      </c>
    </row>
    <row r="701" spans="2:19" ht="11.25" x14ac:dyDescent="0.15">
      <c r="B701" s="3">
        <v>4219254</v>
      </c>
      <c r="C701" s="4">
        <v>690</v>
      </c>
      <c r="D701" s="6" t="s">
        <v>1521</v>
      </c>
      <c r="E701" s="7" t="s">
        <v>840</v>
      </c>
      <c r="F701" s="7"/>
      <c r="G701" s="7"/>
      <c r="H701" s="7"/>
      <c r="I701" s="7"/>
      <c r="J701" s="7"/>
      <c r="K701" s="7"/>
      <c r="L701" s="7"/>
      <c r="M701" s="7"/>
      <c r="N701" s="7"/>
      <c r="O701" s="5" t="s">
        <v>839</v>
      </c>
      <c r="P701" s="45">
        <v>195.11</v>
      </c>
      <c r="Q701" s="47">
        <f t="shared" si="10"/>
        <v>207.56383227800001</v>
      </c>
      <c r="R701" s="4">
        <v>180</v>
      </c>
      <c r="S701" s="4">
        <v>12</v>
      </c>
    </row>
    <row r="702" spans="2:19" ht="11.25" x14ac:dyDescent="0.15">
      <c r="B702" s="3">
        <v>4219255</v>
      </c>
      <c r="C702" s="4">
        <v>691</v>
      </c>
      <c r="D702" s="6" t="s">
        <v>1522</v>
      </c>
      <c r="E702" s="7" t="s">
        <v>838</v>
      </c>
      <c r="F702" s="7"/>
      <c r="G702" s="7"/>
      <c r="H702" s="7"/>
      <c r="I702" s="7"/>
      <c r="J702" s="7"/>
      <c r="K702" s="7"/>
      <c r="L702" s="7"/>
      <c r="M702" s="7"/>
      <c r="N702" s="7"/>
      <c r="O702" s="5" t="s">
        <v>841</v>
      </c>
      <c r="P702" s="45">
        <v>686.21</v>
      </c>
      <c r="Q702" s="47">
        <f t="shared" si="10"/>
        <v>730.01064705800002</v>
      </c>
      <c r="R702" s="4">
        <v>180</v>
      </c>
      <c r="S702" s="4">
        <v>12</v>
      </c>
    </row>
    <row r="703" spans="2:19" ht="11.25" x14ac:dyDescent="0.15">
      <c r="B703" s="3">
        <v>4219256</v>
      </c>
      <c r="C703" s="4">
        <v>692</v>
      </c>
      <c r="D703" s="6" t="s">
        <v>1523</v>
      </c>
      <c r="E703" s="7" t="s">
        <v>838</v>
      </c>
      <c r="F703" s="7"/>
      <c r="G703" s="7"/>
      <c r="H703" s="7"/>
      <c r="I703" s="7"/>
      <c r="J703" s="7"/>
      <c r="K703" s="7"/>
      <c r="L703" s="7"/>
      <c r="M703" s="7"/>
      <c r="N703" s="7"/>
      <c r="O703" s="5" t="s">
        <v>842</v>
      </c>
      <c r="P703" s="45">
        <v>686.21</v>
      </c>
      <c r="Q703" s="47">
        <f t="shared" si="10"/>
        <v>730.01064705800002</v>
      </c>
      <c r="R703" s="4">
        <v>180</v>
      </c>
      <c r="S703" s="4">
        <v>12</v>
      </c>
    </row>
    <row r="704" spans="2:19" ht="11.25" x14ac:dyDescent="0.15">
      <c r="B704" s="3">
        <v>4219257</v>
      </c>
      <c r="C704" s="4">
        <v>693</v>
      </c>
      <c r="D704" s="6" t="s">
        <v>1524</v>
      </c>
      <c r="E704" s="7" t="s">
        <v>838</v>
      </c>
      <c r="F704" s="7"/>
      <c r="G704" s="7"/>
      <c r="H704" s="7"/>
      <c r="I704" s="7"/>
      <c r="J704" s="7"/>
      <c r="K704" s="7"/>
      <c r="L704" s="7"/>
      <c r="M704" s="7"/>
      <c r="N704" s="7"/>
      <c r="O704" s="5" t="s">
        <v>843</v>
      </c>
      <c r="P704" s="45">
        <v>686.21</v>
      </c>
      <c r="Q704" s="47">
        <f t="shared" si="10"/>
        <v>730.01064705800002</v>
      </c>
      <c r="R704" s="4">
        <v>180</v>
      </c>
      <c r="S704" s="4">
        <v>12</v>
      </c>
    </row>
    <row r="705" spans="2:19" ht="11.25" x14ac:dyDescent="0.15">
      <c r="B705" s="3">
        <v>4219258</v>
      </c>
      <c r="C705" s="4">
        <v>694</v>
      </c>
      <c r="D705" s="6" t="s">
        <v>1525</v>
      </c>
      <c r="E705" s="7" t="s">
        <v>838</v>
      </c>
      <c r="F705" s="7"/>
      <c r="G705" s="7"/>
      <c r="H705" s="7"/>
      <c r="I705" s="7"/>
      <c r="J705" s="7"/>
      <c r="K705" s="7"/>
      <c r="L705" s="7"/>
      <c r="M705" s="7"/>
      <c r="N705" s="7"/>
      <c r="O705" s="5" t="s">
        <v>844</v>
      </c>
      <c r="P705" s="45">
        <v>686.21</v>
      </c>
      <c r="Q705" s="47">
        <f t="shared" si="10"/>
        <v>730.01064705800002</v>
      </c>
      <c r="R705" s="4">
        <v>180</v>
      </c>
      <c r="S705" s="4">
        <v>12</v>
      </c>
    </row>
    <row r="706" spans="2:19" ht="11.25" x14ac:dyDescent="0.15">
      <c r="B706" s="3">
        <v>4219259</v>
      </c>
      <c r="C706" s="4">
        <v>695</v>
      </c>
      <c r="D706" s="6" t="s">
        <v>1526</v>
      </c>
      <c r="E706" s="7" t="s">
        <v>838</v>
      </c>
      <c r="F706" s="7"/>
      <c r="G706" s="7"/>
      <c r="H706" s="7"/>
      <c r="I706" s="7"/>
      <c r="J706" s="7"/>
      <c r="K706" s="7"/>
      <c r="L706" s="7"/>
      <c r="M706" s="7"/>
      <c r="N706" s="7"/>
      <c r="O706" s="5" t="s">
        <v>845</v>
      </c>
      <c r="P706" s="45">
        <v>686.21</v>
      </c>
      <c r="Q706" s="47">
        <f t="shared" si="10"/>
        <v>730.01064705800002</v>
      </c>
      <c r="R706" s="4">
        <v>180</v>
      </c>
      <c r="S706" s="4">
        <v>12</v>
      </c>
    </row>
    <row r="707" spans="2:19" ht="11.25" x14ac:dyDescent="0.15">
      <c r="B707" s="3">
        <v>4219260</v>
      </c>
      <c r="C707" s="4">
        <v>696</v>
      </c>
      <c r="D707" s="6" t="s">
        <v>1527</v>
      </c>
      <c r="E707" s="7" t="s">
        <v>838</v>
      </c>
      <c r="F707" s="7"/>
      <c r="G707" s="7"/>
      <c r="H707" s="7"/>
      <c r="I707" s="7"/>
      <c r="J707" s="7"/>
      <c r="K707" s="7"/>
      <c r="L707" s="7"/>
      <c r="M707" s="7"/>
      <c r="N707" s="7"/>
      <c r="O707" s="5" t="s">
        <v>846</v>
      </c>
      <c r="P707" s="45">
        <v>686.21</v>
      </c>
      <c r="Q707" s="47">
        <f t="shared" si="10"/>
        <v>730.01064705800002</v>
      </c>
      <c r="R707" s="4">
        <v>180</v>
      </c>
      <c r="S707" s="4">
        <v>12</v>
      </c>
    </row>
    <row r="708" spans="2:19" ht="11.25" x14ac:dyDescent="0.15">
      <c r="B708" s="3">
        <v>4219261</v>
      </c>
      <c r="C708" s="4">
        <v>697</v>
      </c>
      <c r="D708" s="6" t="s">
        <v>1528</v>
      </c>
      <c r="E708" s="7" t="s">
        <v>838</v>
      </c>
      <c r="F708" s="7"/>
      <c r="G708" s="7"/>
      <c r="H708" s="7"/>
      <c r="I708" s="7"/>
      <c r="J708" s="7"/>
      <c r="K708" s="7"/>
      <c r="L708" s="7"/>
      <c r="M708" s="7"/>
      <c r="N708" s="7"/>
      <c r="O708" s="5" t="s">
        <v>847</v>
      </c>
      <c r="P708" s="45">
        <v>686.21</v>
      </c>
      <c r="Q708" s="47">
        <f t="shared" si="10"/>
        <v>730.01064705800002</v>
      </c>
      <c r="R708" s="4">
        <v>180</v>
      </c>
      <c r="S708" s="4">
        <v>12</v>
      </c>
    </row>
    <row r="709" spans="2:19" ht="11.25" x14ac:dyDescent="0.15">
      <c r="B709" s="3">
        <v>4219262</v>
      </c>
      <c r="C709" s="4">
        <v>698</v>
      </c>
      <c r="D709" s="6" t="s">
        <v>1529</v>
      </c>
      <c r="E709" s="7" t="s">
        <v>838</v>
      </c>
      <c r="F709" s="7"/>
      <c r="G709" s="7"/>
      <c r="H709" s="7"/>
      <c r="I709" s="7"/>
      <c r="J709" s="7"/>
      <c r="K709" s="7"/>
      <c r="L709" s="7"/>
      <c r="M709" s="7"/>
      <c r="N709" s="7"/>
      <c r="O709" s="5" t="s">
        <v>848</v>
      </c>
      <c r="P709" s="45">
        <v>686.21</v>
      </c>
      <c r="Q709" s="47">
        <f t="shared" si="10"/>
        <v>730.01064705800002</v>
      </c>
      <c r="R709" s="4">
        <v>180</v>
      </c>
      <c r="S709" s="4">
        <v>12</v>
      </c>
    </row>
    <row r="710" spans="2:19" ht="11.25" x14ac:dyDescent="0.15">
      <c r="B710" s="3">
        <v>4219263</v>
      </c>
      <c r="C710" s="4">
        <v>699</v>
      </c>
      <c r="D710" s="6" t="s">
        <v>1530</v>
      </c>
      <c r="E710" s="7" t="s">
        <v>838</v>
      </c>
      <c r="F710" s="7"/>
      <c r="G710" s="7"/>
      <c r="H710" s="7"/>
      <c r="I710" s="7"/>
      <c r="J710" s="7"/>
      <c r="K710" s="7"/>
      <c r="L710" s="7"/>
      <c r="M710" s="7"/>
      <c r="N710" s="7"/>
      <c r="O710" s="5" t="s">
        <v>849</v>
      </c>
      <c r="P710" s="45">
        <v>686.21</v>
      </c>
      <c r="Q710" s="47">
        <f t="shared" si="10"/>
        <v>730.01064705800002</v>
      </c>
      <c r="R710" s="4">
        <v>180</v>
      </c>
      <c r="S710" s="4">
        <v>12</v>
      </c>
    </row>
    <row r="711" spans="2:19" ht="11.25" x14ac:dyDescent="0.15">
      <c r="B711" s="3">
        <v>4219264</v>
      </c>
      <c r="C711" s="4">
        <v>700</v>
      </c>
      <c r="D711" s="6" t="s">
        <v>1531</v>
      </c>
      <c r="E711" s="7" t="s">
        <v>851</v>
      </c>
      <c r="F711" s="7"/>
      <c r="G711" s="7"/>
      <c r="H711" s="7"/>
      <c r="I711" s="7"/>
      <c r="J711" s="7"/>
      <c r="K711" s="7"/>
      <c r="L711" s="7"/>
      <c r="M711" s="7"/>
      <c r="N711" s="7"/>
      <c r="O711" s="5" t="s">
        <v>850</v>
      </c>
      <c r="P711" s="45">
        <v>152.71</v>
      </c>
      <c r="Q711" s="47">
        <f t="shared" si="10"/>
        <v>162.457448758</v>
      </c>
      <c r="R711" s="4">
        <v>180</v>
      </c>
      <c r="S711" s="4">
        <v>12</v>
      </c>
    </row>
    <row r="712" spans="2:19" ht="11.25" x14ac:dyDescent="0.15">
      <c r="B712" s="3">
        <v>4219265</v>
      </c>
      <c r="C712" s="4">
        <v>701</v>
      </c>
      <c r="D712" s="6" t="s">
        <v>1532</v>
      </c>
      <c r="E712" s="7" t="s">
        <v>853</v>
      </c>
      <c r="F712" s="7"/>
      <c r="G712" s="7"/>
      <c r="H712" s="7"/>
      <c r="I712" s="7"/>
      <c r="J712" s="7"/>
      <c r="K712" s="7"/>
      <c r="L712" s="7"/>
      <c r="M712" s="7"/>
      <c r="N712" s="7"/>
      <c r="O712" s="5" t="s">
        <v>852</v>
      </c>
      <c r="P712" s="45">
        <v>793.81</v>
      </c>
      <c r="Q712" s="47">
        <f t="shared" si="10"/>
        <v>844.47873353799991</v>
      </c>
      <c r="R712" s="4">
        <v>180</v>
      </c>
      <c r="S712" s="4">
        <v>12</v>
      </c>
    </row>
    <row r="713" spans="2:19" ht="11.25" x14ac:dyDescent="0.15">
      <c r="B713" s="3">
        <v>4219266</v>
      </c>
      <c r="C713" s="4">
        <v>702</v>
      </c>
      <c r="D713" s="6" t="s">
        <v>1533</v>
      </c>
      <c r="E713" s="7" t="s">
        <v>855</v>
      </c>
      <c r="F713" s="7"/>
      <c r="G713" s="7"/>
      <c r="H713" s="7"/>
      <c r="I713" s="7"/>
      <c r="J713" s="7"/>
      <c r="K713" s="7"/>
      <c r="L713" s="7"/>
      <c r="M713" s="7"/>
      <c r="N713" s="7"/>
      <c r="O713" s="5" t="s">
        <v>854</v>
      </c>
      <c r="P713" s="45">
        <v>821.99</v>
      </c>
      <c r="Q713" s="47">
        <f t="shared" si="10"/>
        <v>874.45745730199997</v>
      </c>
      <c r="R713" s="4">
        <v>180</v>
      </c>
      <c r="S713" s="4">
        <v>12</v>
      </c>
    </row>
    <row r="714" spans="2:19" ht="11.25" x14ac:dyDescent="0.15">
      <c r="B714" s="3">
        <v>4219267</v>
      </c>
      <c r="C714" s="4">
        <v>703</v>
      </c>
      <c r="D714" s="6" t="s">
        <v>1534</v>
      </c>
      <c r="E714" s="7" t="s">
        <v>855</v>
      </c>
      <c r="F714" s="7"/>
      <c r="G714" s="7"/>
      <c r="H714" s="7"/>
      <c r="I714" s="7"/>
      <c r="J714" s="7"/>
      <c r="K714" s="7"/>
      <c r="L714" s="7"/>
      <c r="M714" s="7"/>
      <c r="N714" s="7"/>
      <c r="O714" s="5" t="s">
        <v>856</v>
      </c>
      <c r="P714" s="45">
        <v>821.99</v>
      </c>
      <c r="Q714" s="47">
        <f t="shared" si="10"/>
        <v>874.45745730199997</v>
      </c>
      <c r="R714" s="4">
        <v>180</v>
      </c>
      <c r="S714" s="4">
        <v>12</v>
      </c>
    </row>
    <row r="715" spans="2:19" ht="11.25" x14ac:dyDescent="0.15">
      <c r="B715" s="3">
        <v>4219268</v>
      </c>
      <c r="C715" s="4">
        <v>704</v>
      </c>
      <c r="D715" s="6" t="s">
        <v>1535</v>
      </c>
      <c r="E715" s="7" t="s">
        <v>858</v>
      </c>
      <c r="F715" s="7"/>
      <c r="G715" s="7"/>
      <c r="H715" s="7"/>
      <c r="I715" s="7"/>
      <c r="J715" s="7"/>
      <c r="K715" s="7"/>
      <c r="L715" s="7"/>
      <c r="M715" s="7"/>
      <c r="N715" s="7"/>
      <c r="O715" s="5" t="s">
        <v>857</v>
      </c>
      <c r="P715" s="45">
        <v>47.11</v>
      </c>
      <c r="Q715" s="47">
        <f t="shared" si="10"/>
        <v>50.117021877999996</v>
      </c>
      <c r="R715" s="4">
        <v>180</v>
      </c>
      <c r="S715" s="4">
        <v>12</v>
      </c>
    </row>
    <row r="716" spans="2:19" ht="11.25" x14ac:dyDescent="0.15">
      <c r="B716" s="3">
        <v>4219269</v>
      </c>
      <c r="C716" s="4">
        <v>705</v>
      </c>
      <c r="D716" s="6" t="s">
        <v>1536</v>
      </c>
      <c r="E716" s="7" t="s">
        <v>860</v>
      </c>
      <c r="F716" s="7"/>
      <c r="G716" s="7"/>
      <c r="H716" s="7"/>
      <c r="I716" s="7"/>
      <c r="J716" s="7"/>
      <c r="K716" s="7"/>
      <c r="L716" s="7"/>
      <c r="M716" s="7"/>
      <c r="N716" s="7"/>
      <c r="O716" s="5" t="s">
        <v>859</v>
      </c>
      <c r="P716" s="45">
        <v>47.11</v>
      </c>
      <c r="Q716" s="47">
        <f t="shared" si="10"/>
        <v>50.117021877999996</v>
      </c>
      <c r="R716" s="4">
        <v>180</v>
      </c>
      <c r="S716" s="4">
        <v>12</v>
      </c>
    </row>
    <row r="717" spans="2:19" ht="11.25" x14ac:dyDescent="0.15">
      <c r="B717" s="3">
        <v>4219270</v>
      </c>
      <c r="C717" s="4">
        <v>706</v>
      </c>
      <c r="D717" s="6" t="s">
        <v>1537</v>
      </c>
      <c r="E717" s="7" t="s">
        <v>862</v>
      </c>
      <c r="F717" s="7"/>
      <c r="G717" s="7"/>
      <c r="H717" s="7"/>
      <c r="I717" s="7"/>
      <c r="J717" s="7"/>
      <c r="K717" s="7"/>
      <c r="L717" s="7"/>
      <c r="M717" s="7"/>
      <c r="N717" s="7"/>
      <c r="O717" s="5" t="s">
        <v>861</v>
      </c>
      <c r="P717" s="45">
        <v>644.45000000000005</v>
      </c>
      <c r="Q717" s="47">
        <f t="shared" si="10"/>
        <v>685.58511461000001</v>
      </c>
      <c r="R717" s="4">
        <v>180</v>
      </c>
      <c r="S717" s="4">
        <v>12</v>
      </c>
    </row>
    <row r="718" spans="2:19" ht="11.25" x14ac:dyDescent="0.15">
      <c r="B718" s="3">
        <v>4219271</v>
      </c>
      <c r="C718" s="4">
        <v>707</v>
      </c>
      <c r="D718" s="6" t="s">
        <v>1538</v>
      </c>
      <c r="E718" s="7" t="s">
        <v>864</v>
      </c>
      <c r="F718" s="7"/>
      <c r="G718" s="7"/>
      <c r="H718" s="7"/>
      <c r="I718" s="7"/>
      <c r="J718" s="7"/>
      <c r="K718" s="7"/>
      <c r="L718" s="7"/>
      <c r="M718" s="7"/>
      <c r="N718" s="7"/>
      <c r="O718" s="5" t="s">
        <v>863</v>
      </c>
      <c r="P718" s="45">
        <v>372.47</v>
      </c>
      <c r="Q718" s="47">
        <f t="shared" si="10"/>
        <v>396.24468560600002</v>
      </c>
      <c r="R718" s="4">
        <v>180</v>
      </c>
      <c r="S718" s="4">
        <v>12</v>
      </c>
    </row>
    <row r="719" spans="2:19" ht="11.25" x14ac:dyDescent="0.15">
      <c r="B719" s="3">
        <v>4219272</v>
      </c>
      <c r="C719" s="4">
        <v>708</v>
      </c>
      <c r="D719" s="6" t="s">
        <v>1539</v>
      </c>
      <c r="E719" s="7" t="s">
        <v>866</v>
      </c>
      <c r="F719" s="7"/>
      <c r="G719" s="7"/>
      <c r="H719" s="7"/>
      <c r="I719" s="7"/>
      <c r="J719" s="7"/>
      <c r="K719" s="7"/>
      <c r="L719" s="7"/>
      <c r="M719" s="7"/>
      <c r="N719" s="7"/>
      <c r="O719" s="5" t="s">
        <v>865</v>
      </c>
      <c r="P719" s="45">
        <v>495.89</v>
      </c>
      <c r="Q719" s="47">
        <f t="shared" si="10"/>
        <v>527.54255952199992</v>
      </c>
      <c r="R719" s="4">
        <v>180</v>
      </c>
      <c r="S719" s="4">
        <v>12</v>
      </c>
    </row>
    <row r="720" spans="2:19" ht="11.25" x14ac:dyDescent="0.15">
      <c r="B720" s="3">
        <v>4219273</v>
      </c>
      <c r="C720" s="4">
        <v>709</v>
      </c>
      <c r="D720" s="6" t="s">
        <v>1540</v>
      </c>
      <c r="E720" s="7" t="s">
        <v>868</v>
      </c>
      <c r="F720" s="7"/>
      <c r="G720" s="7"/>
      <c r="H720" s="7"/>
      <c r="I720" s="7"/>
      <c r="J720" s="7"/>
      <c r="K720" s="7"/>
      <c r="L720" s="7"/>
      <c r="M720" s="7"/>
      <c r="N720" s="7"/>
      <c r="O720" s="5" t="s">
        <v>867</v>
      </c>
      <c r="P720" s="45">
        <v>603.79999999999995</v>
      </c>
      <c r="Q720" s="47">
        <f t="shared" ref="Q720:Q783" si="11">P720*1.0638298</f>
        <v>642.34043323999992</v>
      </c>
      <c r="R720" s="4">
        <v>180</v>
      </c>
      <c r="S720" s="4">
        <v>12</v>
      </c>
    </row>
    <row r="721" spans="2:19" ht="11.25" x14ac:dyDescent="0.15">
      <c r="B721" s="3">
        <v>4219274</v>
      </c>
      <c r="C721" s="4">
        <v>710</v>
      </c>
      <c r="D721" s="6" t="s">
        <v>1541</v>
      </c>
      <c r="E721" s="7" t="s">
        <v>870</v>
      </c>
      <c r="F721" s="7"/>
      <c r="G721" s="7"/>
      <c r="H721" s="7"/>
      <c r="I721" s="7"/>
      <c r="J721" s="7"/>
      <c r="K721" s="7"/>
      <c r="L721" s="7"/>
      <c r="M721" s="7"/>
      <c r="N721" s="7"/>
      <c r="O721" s="5" t="s">
        <v>869</v>
      </c>
      <c r="P721" s="45">
        <v>711.8</v>
      </c>
      <c r="Q721" s="47">
        <f t="shared" si="11"/>
        <v>757.23405163999996</v>
      </c>
      <c r="R721" s="4">
        <v>180</v>
      </c>
      <c r="S721" s="4">
        <v>12</v>
      </c>
    </row>
    <row r="722" spans="2:19" ht="11.25" x14ac:dyDescent="0.15">
      <c r="B722" s="3">
        <v>4219275</v>
      </c>
      <c r="C722" s="4">
        <v>711</v>
      </c>
      <c r="D722" s="6" t="s">
        <v>1542</v>
      </c>
      <c r="E722" s="7" t="s">
        <v>872</v>
      </c>
      <c r="F722" s="7"/>
      <c r="G722" s="7"/>
      <c r="H722" s="7"/>
      <c r="I722" s="7"/>
      <c r="J722" s="7"/>
      <c r="K722" s="7"/>
      <c r="L722" s="7"/>
      <c r="M722" s="7"/>
      <c r="N722" s="7"/>
      <c r="O722" s="5" t="s">
        <v>871</v>
      </c>
      <c r="P722" s="45">
        <v>410.66</v>
      </c>
      <c r="Q722" s="47">
        <f t="shared" si="11"/>
        <v>436.87234566799998</v>
      </c>
      <c r="R722" s="4">
        <v>180</v>
      </c>
      <c r="S722" s="4">
        <v>12</v>
      </c>
    </row>
    <row r="723" spans="2:19" ht="11.25" x14ac:dyDescent="0.15">
      <c r="B723" s="3">
        <v>4219276</v>
      </c>
      <c r="C723" s="4">
        <v>712</v>
      </c>
      <c r="D723" s="6" t="s">
        <v>1543</v>
      </c>
      <c r="E723" s="7" t="s">
        <v>874</v>
      </c>
      <c r="F723" s="7"/>
      <c r="G723" s="7"/>
      <c r="H723" s="7"/>
      <c r="I723" s="7"/>
      <c r="J723" s="7"/>
      <c r="K723" s="7"/>
      <c r="L723" s="7"/>
      <c r="M723" s="7"/>
      <c r="N723" s="7"/>
      <c r="O723" s="5" t="s">
        <v>873</v>
      </c>
      <c r="P723" s="45">
        <v>436.8</v>
      </c>
      <c r="Q723" s="47">
        <f t="shared" si="11"/>
        <v>464.68085664</v>
      </c>
      <c r="R723" s="4">
        <v>180</v>
      </c>
      <c r="S723" s="4">
        <v>12</v>
      </c>
    </row>
    <row r="724" spans="2:19" ht="11.25" x14ac:dyDescent="0.15">
      <c r="B724" s="3">
        <v>4219277</v>
      </c>
      <c r="C724" s="4">
        <v>713</v>
      </c>
      <c r="D724" s="6" t="s">
        <v>1544</v>
      </c>
      <c r="E724" s="7" t="s">
        <v>876</v>
      </c>
      <c r="F724" s="7"/>
      <c r="G724" s="7"/>
      <c r="H724" s="7"/>
      <c r="I724" s="7"/>
      <c r="J724" s="7"/>
      <c r="K724" s="7"/>
      <c r="L724" s="7"/>
      <c r="M724" s="7"/>
      <c r="N724" s="7"/>
      <c r="O724" s="5" t="s">
        <v>875</v>
      </c>
      <c r="P724" s="45">
        <v>427.85</v>
      </c>
      <c r="Q724" s="47">
        <f t="shared" si="11"/>
        <v>455.15957993000001</v>
      </c>
      <c r="R724" s="4">
        <v>180</v>
      </c>
      <c r="S724" s="4">
        <v>12</v>
      </c>
    </row>
    <row r="725" spans="2:19" ht="11.25" x14ac:dyDescent="0.15">
      <c r="B725" s="3">
        <v>4219278</v>
      </c>
      <c r="C725" s="4">
        <v>714</v>
      </c>
      <c r="D725" s="6" t="s">
        <v>1545</v>
      </c>
      <c r="E725" s="7" t="s">
        <v>878</v>
      </c>
      <c r="F725" s="7"/>
      <c r="G725" s="7"/>
      <c r="H725" s="7"/>
      <c r="I725" s="7"/>
      <c r="J725" s="7"/>
      <c r="K725" s="7"/>
      <c r="L725" s="7"/>
      <c r="M725" s="7"/>
      <c r="N725" s="7"/>
      <c r="O725" s="5" t="s">
        <v>877</v>
      </c>
      <c r="P725" s="45">
        <v>427.85</v>
      </c>
      <c r="Q725" s="47">
        <f t="shared" si="11"/>
        <v>455.15957993000001</v>
      </c>
      <c r="R725" s="4">
        <v>180</v>
      </c>
      <c r="S725" s="4">
        <v>12</v>
      </c>
    </row>
    <row r="726" spans="2:19" ht="11.25" x14ac:dyDescent="0.15">
      <c r="B726" s="3">
        <v>4219279</v>
      </c>
      <c r="C726" s="4">
        <v>715</v>
      </c>
      <c r="D726" s="6" t="s">
        <v>1546</v>
      </c>
      <c r="E726" s="7" t="s">
        <v>880</v>
      </c>
      <c r="F726" s="7"/>
      <c r="G726" s="7"/>
      <c r="H726" s="7"/>
      <c r="I726" s="7"/>
      <c r="J726" s="7"/>
      <c r="K726" s="7"/>
      <c r="L726" s="7"/>
      <c r="M726" s="7"/>
      <c r="N726" s="7"/>
      <c r="O726" s="5" t="s">
        <v>879</v>
      </c>
      <c r="P726" s="45">
        <v>69.22</v>
      </c>
      <c r="Q726" s="47">
        <f t="shared" si="11"/>
        <v>73.638298755999998</v>
      </c>
      <c r="R726" s="4">
        <v>180</v>
      </c>
      <c r="S726" s="4">
        <v>12</v>
      </c>
    </row>
    <row r="727" spans="2:19" ht="11.25" x14ac:dyDescent="0.15">
      <c r="B727" s="3">
        <v>4219280</v>
      </c>
      <c r="C727" s="4">
        <v>716</v>
      </c>
      <c r="D727" s="6" t="s">
        <v>1547</v>
      </c>
      <c r="E727" s="7" t="s">
        <v>882</v>
      </c>
      <c r="F727" s="7"/>
      <c r="G727" s="7"/>
      <c r="H727" s="7"/>
      <c r="I727" s="7"/>
      <c r="J727" s="7"/>
      <c r="K727" s="7"/>
      <c r="L727" s="7"/>
      <c r="M727" s="7"/>
      <c r="N727" s="7"/>
      <c r="O727" s="5" t="s">
        <v>881</v>
      </c>
      <c r="P727" s="45">
        <v>54.33</v>
      </c>
      <c r="Q727" s="47">
        <f t="shared" si="11"/>
        <v>57.797873033999991</v>
      </c>
      <c r="R727" s="4">
        <v>180</v>
      </c>
      <c r="S727" s="4">
        <v>12</v>
      </c>
    </row>
    <row r="728" spans="2:19" ht="11.25" x14ac:dyDescent="0.15">
      <c r="B728" s="3">
        <v>4219281</v>
      </c>
      <c r="C728" s="4">
        <v>717</v>
      </c>
      <c r="D728" s="6" t="s">
        <v>1548</v>
      </c>
      <c r="E728" s="7" t="s">
        <v>884</v>
      </c>
      <c r="F728" s="7"/>
      <c r="G728" s="7"/>
      <c r="H728" s="7"/>
      <c r="I728" s="7"/>
      <c r="J728" s="7"/>
      <c r="K728" s="7"/>
      <c r="L728" s="7"/>
      <c r="M728" s="7"/>
      <c r="N728" s="7"/>
      <c r="O728" s="5" t="s">
        <v>883</v>
      </c>
      <c r="P728" s="45">
        <v>54.33</v>
      </c>
      <c r="Q728" s="47">
        <f t="shared" si="11"/>
        <v>57.797873033999991</v>
      </c>
      <c r="R728" s="4">
        <v>180</v>
      </c>
      <c r="S728" s="4">
        <v>12</v>
      </c>
    </row>
    <row r="729" spans="2:19" ht="11.25" x14ac:dyDescent="0.15">
      <c r="B729" s="3">
        <v>4219282</v>
      </c>
      <c r="C729" s="4">
        <v>718</v>
      </c>
      <c r="D729" s="6" t="s">
        <v>1549</v>
      </c>
      <c r="E729" s="7" t="s">
        <v>886</v>
      </c>
      <c r="F729" s="7"/>
      <c r="G729" s="7"/>
      <c r="H729" s="7"/>
      <c r="I729" s="7"/>
      <c r="J729" s="7"/>
      <c r="K729" s="7"/>
      <c r="L729" s="7"/>
      <c r="M729" s="7"/>
      <c r="N729" s="7"/>
      <c r="O729" s="5" t="s">
        <v>885</v>
      </c>
      <c r="P729" s="45">
        <v>61.23</v>
      </c>
      <c r="Q729" s="47">
        <f t="shared" si="11"/>
        <v>65.138298653999996</v>
      </c>
      <c r="R729" s="4">
        <v>180</v>
      </c>
      <c r="S729" s="4">
        <v>12</v>
      </c>
    </row>
    <row r="730" spans="2:19" ht="11.25" x14ac:dyDescent="0.15">
      <c r="B730" s="3">
        <v>4219283</v>
      </c>
      <c r="C730" s="4">
        <v>719</v>
      </c>
      <c r="D730" s="6" t="s">
        <v>1550</v>
      </c>
      <c r="E730" s="7" t="s">
        <v>888</v>
      </c>
      <c r="F730" s="7"/>
      <c r="G730" s="7"/>
      <c r="H730" s="7"/>
      <c r="I730" s="7"/>
      <c r="J730" s="7"/>
      <c r="K730" s="7"/>
      <c r="L730" s="7"/>
      <c r="M730" s="7"/>
      <c r="N730" s="7"/>
      <c r="O730" s="5" t="s">
        <v>887</v>
      </c>
      <c r="P730" s="45">
        <v>56.4</v>
      </c>
      <c r="Q730" s="47">
        <f t="shared" si="11"/>
        <v>60.000000719999996</v>
      </c>
      <c r="R730" s="4">
        <v>180</v>
      </c>
      <c r="S730" s="4">
        <v>12</v>
      </c>
    </row>
    <row r="731" spans="2:19" ht="11.25" x14ac:dyDescent="0.15">
      <c r="B731" s="3">
        <v>4219284</v>
      </c>
      <c r="C731" s="4">
        <v>720</v>
      </c>
      <c r="D731" s="6" t="s">
        <v>1551</v>
      </c>
      <c r="E731" s="7" t="s">
        <v>890</v>
      </c>
      <c r="F731" s="7"/>
      <c r="G731" s="7"/>
      <c r="H731" s="7"/>
      <c r="I731" s="7"/>
      <c r="J731" s="7"/>
      <c r="K731" s="7"/>
      <c r="L731" s="7"/>
      <c r="M731" s="7"/>
      <c r="N731" s="7"/>
      <c r="O731" s="5" t="s">
        <v>889</v>
      </c>
      <c r="P731" s="45">
        <v>308.33999999999997</v>
      </c>
      <c r="Q731" s="47">
        <f t="shared" si="11"/>
        <v>328.02128053199993</v>
      </c>
      <c r="R731" s="4">
        <v>180</v>
      </c>
      <c r="S731" s="4">
        <v>12</v>
      </c>
    </row>
    <row r="732" spans="2:19" ht="11.25" x14ac:dyDescent="0.15">
      <c r="B732" s="3">
        <v>4219285</v>
      </c>
      <c r="C732" s="4">
        <v>721</v>
      </c>
      <c r="D732" s="6" t="s">
        <v>1552</v>
      </c>
      <c r="E732" s="7" t="s">
        <v>892</v>
      </c>
      <c r="F732" s="7"/>
      <c r="G732" s="7"/>
      <c r="H732" s="7"/>
      <c r="I732" s="7"/>
      <c r="J732" s="7"/>
      <c r="K732" s="7"/>
      <c r="L732" s="7"/>
      <c r="M732" s="7"/>
      <c r="N732" s="7"/>
      <c r="O732" s="5" t="s">
        <v>891</v>
      </c>
      <c r="P732" s="45">
        <v>542.04999999999995</v>
      </c>
      <c r="Q732" s="47">
        <f t="shared" si="11"/>
        <v>576.64894308999988</v>
      </c>
      <c r="R732" s="4">
        <v>180</v>
      </c>
      <c r="S732" s="4">
        <v>12</v>
      </c>
    </row>
    <row r="733" spans="2:19" ht="11.25" x14ac:dyDescent="0.15">
      <c r="B733" s="3">
        <v>4219286</v>
      </c>
      <c r="C733" s="4">
        <v>722</v>
      </c>
      <c r="D733" s="6" t="s">
        <v>1553</v>
      </c>
      <c r="E733" s="7" t="s">
        <v>894</v>
      </c>
      <c r="F733" s="7"/>
      <c r="G733" s="7"/>
      <c r="H733" s="7"/>
      <c r="I733" s="7"/>
      <c r="J733" s="7"/>
      <c r="K733" s="7"/>
      <c r="L733" s="7"/>
      <c r="M733" s="7"/>
      <c r="N733" s="7"/>
      <c r="O733" s="5" t="s">
        <v>893</v>
      </c>
      <c r="P733" s="45">
        <v>541.34</v>
      </c>
      <c r="Q733" s="47">
        <f t="shared" si="11"/>
        <v>575.89362393199997</v>
      </c>
      <c r="R733" s="4">
        <v>180</v>
      </c>
      <c r="S733" s="4">
        <v>12</v>
      </c>
    </row>
    <row r="734" spans="2:19" ht="11.25" x14ac:dyDescent="0.15">
      <c r="B734" s="3">
        <v>4219287</v>
      </c>
      <c r="C734" s="4">
        <v>723</v>
      </c>
      <c r="D734" s="6" t="s">
        <v>1554</v>
      </c>
      <c r="E734" s="7" t="s">
        <v>896</v>
      </c>
      <c r="F734" s="7"/>
      <c r="G734" s="7"/>
      <c r="H734" s="7"/>
      <c r="I734" s="7"/>
      <c r="J734" s="7"/>
      <c r="K734" s="7"/>
      <c r="L734" s="7"/>
      <c r="M734" s="7"/>
      <c r="N734" s="7"/>
      <c r="O734" s="5" t="s">
        <v>895</v>
      </c>
      <c r="P734" s="45">
        <v>547.53</v>
      </c>
      <c r="Q734" s="47">
        <f t="shared" si="11"/>
        <v>582.47873039399997</v>
      </c>
      <c r="R734" s="4">
        <v>180</v>
      </c>
      <c r="S734" s="4">
        <v>12</v>
      </c>
    </row>
    <row r="735" spans="2:19" ht="11.25" x14ac:dyDescent="0.15">
      <c r="B735" s="3">
        <v>4219288</v>
      </c>
      <c r="C735" s="4">
        <v>724</v>
      </c>
      <c r="D735" s="6" t="s">
        <v>1555</v>
      </c>
      <c r="E735" s="7" t="s">
        <v>898</v>
      </c>
      <c r="F735" s="7"/>
      <c r="G735" s="7"/>
      <c r="H735" s="7"/>
      <c r="I735" s="7"/>
      <c r="J735" s="7"/>
      <c r="K735" s="7"/>
      <c r="L735" s="7"/>
      <c r="M735" s="7"/>
      <c r="N735" s="7"/>
      <c r="O735" s="5" t="s">
        <v>897</v>
      </c>
      <c r="P735" s="45">
        <v>547.53</v>
      </c>
      <c r="Q735" s="47">
        <f t="shared" si="11"/>
        <v>582.47873039399997</v>
      </c>
      <c r="R735" s="4">
        <v>180</v>
      </c>
      <c r="S735" s="4">
        <v>12</v>
      </c>
    </row>
    <row r="736" spans="2:19" ht="11.25" x14ac:dyDescent="0.15">
      <c r="B736" s="3">
        <v>4219289</v>
      </c>
      <c r="C736" s="4">
        <v>725</v>
      </c>
      <c r="D736" s="6" t="s">
        <v>1556</v>
      </c>
      <c r="E736" s="7" t="s">
        <v>900</v>
      </c>
      <c r="F736" s="7"/>
      <c r="G736" s="7"/>
      <c r="H736" s="7"/>
      <c r="I736" s="7"/>
      <c r="J736" s="7"/>
      <c r="K736" s="7"/>
      <c r="L736" s="7"/>
      <c r="M736" s="7"/>
      <c r="N736" s="7"/>
      <c r="O736" s="5" t="s">
        <v>899</v>
      </c>
      <c r="P736" s="45">
        <v>94.24</v>
      </c>
      <c r="Q736" s="47">
        <f t="shared" si="11"/>
        <v>100.25532035199998</v>
      </c>
      <c r="R736" s="4">
        <v>180</v>
      </c>
      <c r="S736" s="4">
        <v>12</v>
      </c>
    </row>
    <row r="737" spans="2:19" ht="11.25" x14ac:dyDescent="0.15">
      <c r="B737" s="3">
        <v>4219290</v>
      </c>
      <c r="C737" s="4">
        <v>726</v>
      </c>
      <c r="D737" s="6" t="s">
        <v>1557</v>
      </c>
      <c r="E737" s="7" t="s">
        <v>902</v>
      </c>
      <c r="F737" s="7"/>
      <c r="G737" s="7"/>
      <c r="H737" s="7"/>
      <c r="I737" s="7"/>
      <c r="J737" s="7"/>
      <c r="K737" s="7"/>
      <c r="L737" s="7"/>
      <c r="M737" s="7"/>
      <c r="N737" s="7"/>
      <c r="O737" s="5" t="s">
        <v>901</v>
      </c>
      <c r="P737" s="45">
        <v>110.05</v>
      </c>
      <c r="Q737" s="47">
        <f t="shared" si="11"/>
        <v>117.07446948999998</v>
      </c>
      <c r="R737" s="4">
        <v>180</v>
      </c>
      <c r="S737" s="4">
        <v>12</v>
      </c>
    </row>
    <row r="738" spans="2:19" ht="11.25" x14ac:dyDescent="0.15">
      <c r="B738" s="3">
        <v>4219291</v>
      </c>
      <c r="C738" s="4">
        <v>727</v>
      </c>
      <c r="D738" s="6" t="s">
        <v>1558</v>
      </c>
      <c r="E738" s="7" t="s">
        <v>904</v>
      </c>
      <c r="F738" s="7"/>
      <c r="G738" s="7"/>
      <c r="H738" s="7"/>
      <c r="I738" s="7"/>
      <c r="J738" s="7"/>
      <c r="K738" s="7"/>
      <c r="L738" s="7"/>
      <c r="M738" s="7"/>
      <c r="N738" s="7"/>
      <c r="O738" s="5" t="s">
        <v>903</v>
      </c>
      <c r="P738" s="45">
        <v>204.3</v>
      </c>
      <c r="Q738" s="47">
        <f t="shared" si="11"/>
        <v>217.34042814</v>
      </c>
      <c r="R738" s="4">
        <v>180</v>
      </c>
      <c r="S738" s="4">
        <v>12</v>
      </c>
    </row>
    <row r="739" spans="2:19" ht="11.25" x14ac:dyDescent="0.15">
      <c r="B739" s="3">
        <v>4219292</v>
      </c>
      <c r="C739" s="4">
        <v>728</v>
      </c>
      <c r="D739" s="6" t="s">
        <v>1559</v>
      </c>
      <c r="E739" s="7" t="s">
        <v>906</v>
      </c>
      <c r="F739" s="7"/>
      <c r="G739" s="7"/>
      <c r="H739" s="7"/>
      <c r="I739" s="7"/>
      <c r="J739" s="7"/>
      <c r="K739" s="7"/>
      <c r="L739" s="7"/>
      <c r="M739" s="7"/>
      <c r="N739" s="7"/>
      <c r="O739" s="5" t="s">
        <v>905</v>
      </c>
      <c r="P739" s="45">
        <v>938.83</v>
      </c>
      <c r="Q739" s="47">
        <f t="shared" si="11"/>
        <v>998.75533113400002</v>
      </c>
      <c r="R739" s="4">
        <v>180</v>
      </c>
      <c r="S739" s="4">
        <v>12</v>
      </c>
    </row>
    <row r="740" spans="2:19" ht="11.25" x14ac:dyDescent="0.15">
      <c r="B740" s="3">
        <v>4219293</v>
      </c>
      <c r="C740" s="4">
        <v>729</v>
      </c>
      <c r="D740" s="6" t="s">
        <v>1560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5" t="s">
        <v>907</v>
      </c>
      <c r="P740" s="45">
        <v>1043.1500000000001</v>
      </c>
      <c r="Q740" s="47">
        <f t="shared" si="11"/>
        <v>1109.73405587</v>
      </c>
      <c r="R740" s="4">
        <v>180</v>
      </c>
      <c r="S740" s="4">
        <v>12</v>
      </c>
    </row>
    <row r="741" spans="2:19" ht="11.25" x14ac:dyDescent="0.15">
      <c r="B741" s="3">
        <v>4219294</v>
      </c>
      <c r="C741" s="4">
        <v>730</v>
      </c>
      <c r="D741" s="6" t="s">
        <v>1561</v>
      </c>
      <c r="E741" s="7" t="s">
        <v>909</v>
      </c>
      <c r="F741" s="7"/>
      <c r="G741" s="7"/>
      <c r="H741" s="7"/>
      <c r="I741" s="7"/>
      <c r="J741" s="7"/>
      <c r="K741" s="7"/>
      <c r="L741" s="7"/>
      <c r="M741" s="7"/>
      <c r="N741" s="7"/>
      <c r="O741" s="5" t="s">
        <v>908</v>
      </c>
      <c r="P741" s="45">
        <v>353.29</v>
      </c>
      <c r="Q741" s="47">
        <f t="shared" si="11"/>
        <v>375.84043004199998</v>
      </c>
      <c r="R741" s="4">
        <v>180</v>
      </c>
      <c r="S741" s="4">
        <v>12</v>
      </c>
    </row>
    <row r="742" spans="2:19" ht="11.25" x14ac:dyDescent="0.15">
      <c r="B742" s="3">
        <v>4219295</v>
      </c>
      <c r="C742" s="4">
        <v>731</v>
      </c>
      <c r="D742" s="6" t="s">
        <v>1562</v>
      </c>
      <c r="E742" s="7" t="s">
        <v>715</v>
      </c>
      <c r="F742" s="7"/>
      <c r="G742" s="7"/>
      <c r="H742" s="7"/>
      <c r="I742" s="7"/>
      <c r="J742" s="7"/>
      <c r="K742" s="7"/>
      <c r="L742" s="7"/>
      <c r="M742" s="7"/>
      <c r="N742" s="7"/>
      <c r="O742" s="5" t="s">
        <v>910</v>
      </c>
      <c r="P742" s="45">
        <v>123.63</v>
      </c>
      <c r="Q742" s="47">
        <f t="shared" si="11"/>
        <v>131.52127817399997</v>
      </c>
      <c r="R742" s="4">
        <v>180</v>
      </c>
      <c r="S742" s="4">
        <v>12</v>
      </c>
    </row>
    <row r="743" spans="2:19" ht="11.25" x14ac:dyDescent="0.15">
      <c r="B743" s="3">
        <v>4219296</v>
      </c>
      <c r="C743" s="4">
        <v>732</v>
      </c>
      <c r="D743" s="6" t="s">
        <v>1563</v>
      </c>
      <c r="E743" s="7" t="s">
        <v>717</v>
      </c>
      <c r="F743" s="7"/>
      <c r="G743" s="7"/>
      <c r="H743" s="7"/>
      <c r="I743" s="7"/>
      <c r="J743" s="7"/>
      <c r="K743" s="7"/>
      <c r="L743" s="7"/>
      <c r="M743" s="7"/>
      <c r="N743" s="7"/>
      <c r="O743" s="5" t="s">
        <v>911</v>
      </c>
      <c r="P743" s="45">
        <v>137.54</v>
      </c>
      <c r="Q743" s="47">
        <f t="shared" si="11"/>
        <v>146.31915069199999</v>
      </c>
      <c r="R743" s="4">
        <v>180</v>
      </c>
      <c r="S743" s="4">
        <v>12</v>
      </c>
    </row>
    <row r="744" spans="2:19" ht="11.25" x14ac:dyDescent="0.15">
      <c r="B744" s="3">
        <v>4219297</v>
      </c>
      <c r="C744" s="4">
        <v>733</v>
      </c>
      <c r="D744" s="6" t="s">
        <v>1564</v>
      </c>
      <c r="E744" s="7" t="s">
        <v>719</v>
      </c>
      <c r="F744" s="7"/>
      <c r="G744" s="7"/>
      <c r="H744" s="7"/>
      <c r="I744" s="7"/>
      <c r="J744" s="7"/>
      <c r="K744" s="7"/>
      <c r="L744" s="7"/>
      <c r="M744" s="7"/>
      <c r="N744" s="7"/>
      <c r="O744" s="5" t="s">
        <v>912</v>
      </c>
      <c r="P744" s="45">
        <v>323.57</v>
      </c>
      <c r="Q744" s="47">
        <f t="shared" si="11"/>
        <v>344.22340838599996</v>
      </c>
      <c r="R744" s="4">
        <v>180</v>
      </c>
      <c r="S744" s="4">
        <v>12</v>
      </c>
    </row>
    <row r="745" spans="2:19" ht="11.25" x14ac:dyDescent="0.15">
      <c r="B745" s="3">
        <v>4219298</v>
      </c>
      <c r="C745" s="4">
        <v>734</v>
      </c>
      <c r="D745" s="6" t="s">
        <v>1565</v>
      </c>
      <c r="E745" s="7" t="s">
        <v>914</v>
      </c>
      <c r="F745" s="7"/>
      <c r="G745" s="7"/>
      <c r="H745" s="7"/>
      <c r="I745" s="7"/>
      <c r="J745" s="7"/>
      <c r="K745" s="7"/>
      <c r="L745" s="7"/>
      <c r="M745" s="7"/>
      <c r="N745" s="7"/>
      <c r="O745" s="5" t="s">
        <v>913</v>
      </c>
      <c r="P745" s="45">
        <v>323.57</v>
      </c>
      <c r="Q745" s="47">
        <f t="shared" si="11"/>
        <v>344.22340838599996</v>
      </c>
      <c r="R745" s="4">
        <v>180</v>
      </c>
      <c r="S745" s="4">
        <v>12</v>
      </c>
    </row>
    <row r="746" spans="2:19" ht="11.25" x14ac:dyDescent="0.15">
      <c r="B746" s="3">
        <v>4219299</v>
      </c>
      <c r="C746" s="4">
        <v>735</v>
      </c>
      <c r="D746" s="6" t="s">
        <v>1566</v>
      </c>
      <c r="E746" s="7" t="s">
        <v>916</v>
      </c>
      <c r="F746" s="7"/>
      <c r="G746" s="7"/>
      <c r="H746" s="7"/>
      <c r="I746" s="7"/>
      <c r="J746" s="7"/>
      <c r="K746" s="7"/>
      <c r="L746" s="7"/>
      <c r="M746" s="7"/>
      <c r="N746" s="7"/>
      <c r="O746" s="5" t="s">
        <v>915</v>
      </c>
      <c r="P746" s="45">
        <v>178.13</v>
      </c>
      <c r="Q746" s="47">
        <f t="shared" si="11"/>
        <v>189.500002274</v>
      </c>
      <c r="R746" s="4">
        <v>180</v>
      </c>
      <c r="S746" s="4">
        <v>12</v>
      </c>
    </row>
    <row r="747" spans="2:19" ht="11.25" x14ac:dyDescent="0.15">
      <c r="B747" s="3">
        <v>4219300</v>
      </c>
      <c r="C747" s="4">
        <v>736</v>
      </c>
      <c r="D747" s="6" t="s">
        <v>1567</v>
      </c>
      <c r="E747" s="7" t="s">
        <v>918</v>
      </c>
      <c r="F747" s="7"/>
      <c r="G747" s="7"/>
      <c r="H747" s="7"/>
      <c r="I747" s="7"/>
      <c r="J747" s="7"/>
      <c r="K747" s="7"/>
      <c r="L747" s="7"/>
      <c r="M747" s="7"/>
      <c r="N747" s="7"/>
      <c r="O747" s="5" t="s">
        <v>917</v>
      </c>
      <c r="P747" s="45">
        <v>178.13</v>
      </c>
      <c r="Q747" s="47">
        <f t="shared" si="11"/>
        <v>189.500002274</v>
      </c>
      <c r="R747" s="4">
        <v>180</v>
      </c>
      <c r="S747" s="4">
        <v>12</v>
      </c>
    </row>
    <row r="748" spans="2:19" ht="11.25" x14ac:dyDescent="0.15">
      <c r="B748" s="3">
        <v>4219301</v>
      </c>
      <c r="C748" s="4">
        <v>737</v>
      </c>
      <c r="D748" s="6" t="s">
        <v>1568</v>
      </c>
      <c r="E748" s="7" t="s">
        <v>721</v>
      </c>
      <c r="F748" s="7"/>
      <c r="G748" s="7"/>
      <c r="H748" s="7"/>
      <c r="I748" s="7"/>
      <c r="J748" s="7"/>
      <c r="K748" s="7"/>
      <c r="L748" s="7"/>
      <c r="M748" s="7"/>
      <c r="N748" s="7"/>
      <c r="O748" s="5" t="s">
        <v>919</v>
      </c>
      <c r="P748" s="45">
        <v>38.700000000000003</v>
      </c>
      <c r="Q748" s="47">
        <f t="shared" si="11"/>
        <v>41.170213259999997</v>
      </c>
      <c r="R748" s="4">
        <v>180</v>
      </c>
      <c r="S748" s="4">
        <v>12</v>
      </c>
    </row>
    <row r="749" spans="2:19" ht="11.25" x14ac:dyDescent="0.15">
      <c r="B749" s="3">
        <v>4219302</v>
      </c>
      <c r="C749" s="4">
        <v>738</v>
      </c>
      <c r="D749" s="6" t="s">
        <v>1569</v>
      </c>
      <c r="E749" s="7" t="s">
        <v>723</v>
      </c>
      <c r="F749" s="7"/>
      <c r="G749" s="7"/>
      <c r="H749" s="7"/>
      <c r="I749" s="7"/>
      <c r="J749" s="7"/>
      <c r="K749" s="7"/>
      <c r="L749" s="7"/>
      <c r="M749" s="7"/>
      <c r="N749" s="7"/>
      <c r="O749" s="5" t="s">
        <v>920</v>
      </c>
      <c r="P749" s="45">
        <v>83.99</v>
      </c>
      <c r="Q749" s="47">
        <f t="shared" si="11"/>
        <v>89.35106490199999</v>
      </c>
      <c r="R749" s="4">
        <v>180</v>
      </c>
      <c r="S749" s="4">
        <v>12</v>
      </c>
    </row>
    <row r="750" spans="2:19" ht="11.25" x14ac:dyDescent="0.15">
      <c r="B750" s="3">
        <v>4219303</v>
      </c>
      <c r="C750" s="4">
        <v>739</v>
      </c>
      <c r="D750" s="6" t="s">
        <v>1570</v>
      </c>
      <c r="E750" s="7" t="s">
        <v>725</v>
      </c>
      <c r="F750" s="7"/>
      <c r="G750" s="7"/>
      <c r="H750" s="7"/>
      <c r="I750" s="7"/>
      <c r="J750" s="7"/>
      <c r="K750" s="7"/>
      <c r="L750" s="7"/>
      <c r="M750" s="7"/>
      <c r="N750" s="7"/>
      <c r="O750" s="5" t="s">
        <v>921</v>
      </c>
      <c r="P750" s="45">
        <v>94.43</v>
      </c>
      <c r="Q750" s="47">
        <f t="shared" si="11"/>
        <v>100.45744801400001</v>
      </c>
      <c r="R750" s="4">
        <v>180</v>
      </c>
      <c r="S750" s="4">
        <v>12</v>
      </c>
    </row>
    <row r="751" spans="2:19" ht="11.25" x14ac:dyDescent="0.15">
      <c r="B751" s="3">
        <v>4219304</v>
      </c>
      <c r="C751" s="4">
        <v>740</v>
      </c>
      <c r="D751" s="6" t="s">
        <v>1571</v>
      </c>
      <c r="E751" s="7" t="s">
        <v>923</v>
      </c>
      <c r="F751" s="7"/>
      <c r="G751" s="7"/>
      <c r="H751" s="7"/>
      <c r="I751" s="7"/>
      <c r="J751" s="7"/>
      <c r="K751" s="7"/>
      <c r="L751" s="7"/>
      <c r="M751" s="7"/>
      <c r="N751" s="7"/>
      <c r="O751" s="5" t="s">
        <v>922</v>
      </c>
      <c r="P751" s="45">
        <v>81.03</v>
      </c>
      <c r="Q751" s="47">
        <f t="shared" si="11"/>
        <v>86.202128693999995</v>
      </c>
      <c r="R751" s="4">
        <v>180</v>
      </c>
      <c r="S751" s="4">
        <v>12</v>
      </c>
    </row>
    <row r="752" spans="2:19" ht="11.25" x14ac:dyDescent="0.15">
      <c r="B752" s="3">
        <v>4219305</v>
      </c>
      <c r="C752" s="4">
        <v>741</v>
      </c>
      <c r="D752" s="6" t="s">
        <v>1572</v>
      </c>
      <c r="E752" s="7" t="s">
        <v>925</v>
      </c>
      <c r="F752" s="7"/>
      <c r="G752" s="7"/>
      <c r="H752" s="7"/>
      <c r="I752" s="7"/>
      <c r="J752" s="7"/>
      <c r="K752" s="7"/>
      <c r="L752" s="7"/>
      <c r="M752" s="7"/>
      <c r="N752" s="7"/>
      <c r="O752" s="5" t="s">
        <v>924</v>
      </c>
      <c r="P752" s="45">
        <v>303.27</v>
      </c>
      <c r="Q752" s="47">
        <f t="shared" si="11"/>
        <v>322.62766344599999</v>
      </c>
      <c r="R752" s="4">
        <v>180</v>
      </c>
      <c r="S752" s="4">
        <v>12</v>
      </c>
    </row>
    <row r="753" spans="2:19" ht="11.25" x14ac:dyDescent="0.15">
      <c r="B753" s="3">
        <v>4219306</v>
      </c>
      <c r="C753" s="4">
        <v>742</v>
      </c>
      <c r="D753" s="6" t="s">
        <v>1573</v>
      </c>
      <c r="E753" s="7" t="s">
        <v>727</v>
      </c>
      <c r="F753" s="7"/>
      <c r="G753" s="7"/>
      <c r="H753" s="7"/>
      <c r="I753" s="7"/>
      <c r="J753" s="7"/>
      <c r="K753" s="7"/>
      <c r="L753" s="7"/>
      <c r="M753" s="7"/>
      <c r="N753" s="7"/>
      <c r="O753" s="5" t="s">
        <v>926</v>
      </c>
      <c r="P753" s="45">
        <v>163.30000000000001</v>
      </c>
      <c r="Q753" s="47">
        <f t="shared" si="11"/>
        <v>173.72340634</v>
      </c>
      <c r="R753" s="4">
        <v>180</v>
      </c>
      <c r="S753" s="4">
        <v>12</v>
      </c>
    </row>
    <row r="754" spans="2:19" ht="11.25" x14ac:dyDescent="0.15">
      <c r="B754" s="3">
        <v>4219307</v>
      </c>
      <c r="C754" s="4">
        <v>743</v>
      </c>
      <c r="D754" s="6" t="s">
        <v>1574</v>
      </c>
      <c r="E754" s="7" t="s">
        <v>729</v>
      </c>
      <c r="F754" s="7"/>
      <c r="G754" s="7"/>
      <c r="H754" s="7"/>
      <c r="I754" s="7"/>
      <c r="J754" s="7"/>
      <c r="K754" s="7"/>
      <c r="L754" s="7"/>
      <c r="M754" s="7"/>
      <c r="N754" s="7"/>
      <c r="O754" s="5" t="s">
        <v>927</v>
      </c>
      <c r="P754" s="45">
        <v>308.55</v>
      </c>
      <c r="Q754" s="47">
        <f t="shared" si="11"/>
        <v>328.24468479000001</v>
      </c>
      <c r="R754" s="4">
        <v>180</v>
      </c>
      <c r="S754" s="4">
        <v>12</v>
      </c>
    </row>
    <row r="755" spans="2:19" ht="11.25" x14ac:dyDescent="0.15">
      <c r="B755" s="3">
        <v>4219308</v>
      </c>
      <c r="C755" s="4">
        <v>744</v>
      </c>
      <c r="D755" s="6" t="s">
        <v>1575</v>
      </c>
      <c r="E755" s="7" t="s">
        <v>925</v>
      </c>
      <c r="F755" s="7"/>
      <c r="G755" s="7"/>
      <c r="H755" s="7"/>
      <c r="I755" s="7"/>
      <c r="J755" s="7"/>
      <c r="K755" s="7"/>
      <c r="L755" s="7"/>
      <c r="M755" s="7"/>
      <c r="N755" s="7"/>
      <c r="O755" s="5" t="s">
        <v>928</v>
      </c>
      <c r="P755" s="45">
        <v>303.27</v>
      </c>
      <c r="Q755" s="47">
        <f t="shared" si="11"/>
        <v>322.62766344599999</v>
      </c>
      <c r="R755" s="4">
        <v>180</v>
      </c>
      <c r="S755" s="4">
        <v>12</v>
      </c>
    </row>
    <row r="756" spans="2:19" ht="11.25" x14ac:dyDescent="0.15">
      <c r="B756" s="3">
        <v>4219309</v>
      </c>
      <c r="C756" s="4">
        <v>745</v>
      </c>
      <c r="D756" s="6" t="s">
        <v>1576</v>
      </c>
      <c r="E756" s="7" t="s">
        <v>930</v>
      </c>
      <c r="F756" s="7"/>
      <c r="G756" s="7"/>
      <c r="H756" s="7"/>
      <c r="I756" s="7"/>
      <c r="J756" s="7"/>
      <c r="K756" s="7"/>
      <c r="L756" s="7"/>
      <c r="M756" s="7"/>
      <c r="N756" s="7"/>
      <c r="O756" s="5" t="s">
        <v>929</v>
      </c>
      <c r="P756" s="45">
        <v>250.69</v>
      </c>
      <c r="Q756" s="47">
        <f t="shared" si="11"/>
        <v>266.69149256200001</v>
      </c>
      <c r="R756" s="4">
        <v>180</v>
      </c>
      <c r="S756" s="4">
        <v>12</v>
      </c>
    </row>
    <row r="757" spans="2:19" ht="11.25" x14ac:dyDescent="0.15">
      <c r="B757" s="3">
        <v>4219310</v>
      </c>
      <c r="C757" s="4">
        <v>746</v>
      </c>
      <c r="D757" s="6" t="s">
        <v>1577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5" t="s">
        <v>931</v>
      </c>
      <c r="P757" s="45">
        <v>161.44</v>
      </c>
      <c r="Q757" s="47">
        <f t="shared" si="11"/>
        <v>171.74468291199997</v>
      </c>
      <c r="R757" s="4">
        <v>180</v>
      </c>
      <c r="S757" s="4">
        <v>12</v>
      </c>
    </row>
    <row r="758" spans="2:19" ht="11.25" x14ac:dyDescent="0.15">
      <c r="B758" s="3">
        <v>4219311</v>
      </c>
      <c r="C758" s="4">
        <v>747</v>
      </c>
      <c r="D758" s="6" t="s">
        <v>1578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5" t="s">
        <v>932</v>
      </c>
      <c r="P758" s="45">
        <v>171.61</v>
      </c>
      <c r="Q758" s="47">
        <f t="shared" si="11"/>
        <v>182.563831978</v>
      </c>
      <c r="R758" s="4">
        <v>180</v>
      </c>
      <c r="S758" s="4">
        <v>12</v>
      </c>
    </row>
    <row r="759" spans="2:19" ht="11.25" x14ac:dyDescent="0.15">
      <c r="B759" s="3">
        <v>4219312</v>
      </c>
      <c r="C759" s="4">
        <v>748</v>
      </c>
      <c r="D759" s="6" t="s">
        <v>1579</v>
      </c>
      <c r="E759" s="7" t="s">
        <v>934</v>
      </c>
      <c r="F759" s="7"/>
      <c r="G759" s="7"/>
      <c r="H759" s="7"/>
      <c r="I759" s="7"/>
      <c r="J759" s="7"/>
      <c r="K759" s="7"/>
      <c r="L759" s="7"/>
      <c r="M759" s="7"/>
      <c r="N759" s="7"/>
      <c r="O759" s="5" t="s">
        <v>933</v>
      </c>
      <c r="P759" s="45">
        <v>242.18</v>
      </c>
      <c r="Q759" s="47">
        <f t="shared" si="11"/>
        <v>257.638300964</v>
      </c>
      <c r="R759" s="4">
        <v>180</v>
      </c>
      <c r="S759" s="4">
        <v>12</v>
      </c>
    </row>
    <row r="760" spans="2:19" ht="11.25" x14ac:dyDescent="0.15">
      <c r="B760" s="3">
        <v>4219313</v>
      </c>
      <c r="C760" s="4">
        <v>749</v>
      </c>
      <c r="D760" s="6" t="s">
        <v>1580</v>
      </c>
      <c r="E760" s="7" t="s">
        <v>936</v>
      </c>
      <c r="F760" s="7"/>
      <c r="G760" s="7"/>
      <c r="H760" s="7"/>
      <c r="I760" s="7"/>
      <c r="J760" s="7"/>
      <c r="K760" s="7"/>
      <c r="L760" s="7"/>
      <c r="M760" s="7"/>
      <c r="N760" s="7"/>
      <c r="O760" s="5" t="s">
        <v>935</v>
      </c>
      <c r="P760" s="45">
        <v>468.85</v>
      </c>
      <c r="Q760" s="47">
        <f t="shared" si="11"/>
        <v>498.77660172999998</v>
      </c>
      <c r="R760" s="4">
        <v>180</v>
      </c>
      <c r="S760" s="4">
        <v>12</v>
      </c>
    </row>
    <row r="761" spans="2:19" ht="11.25" x14ac:dyDescent="0.15">
      <c r="B761" s="3">
        <v>4219314</v>
      </c>
      <c r="C761" s="4">
        <v>750</v>
      </c>
      <c r="D761" s="6" t="s">
        <v>1581</v>
      </c>
      <c r="E761" s="7" t="s">
        <v>938</v>
      </c>
      <c r="F761" s="7"/>
      <c r="G761" s="7"/>
      <c r="H761" s="7"/>
      <c r="I761" s="7"/>
      <c r="J761" s="7"/>
      <c r="K761" s="7"/>
      <c r="L761" s="7"/>
      <c r="M761" s="7"/>
      <c r="N761" s="7"/>
      <c r="O761" s="5" t="s">
        <v>937</v>
      </c>
      <c r="P761" s="45">
        <v>606.29</v>
      </c>
      <c r="Q761" s="47">
        <f t="shared" si="11"/>
        <v>644.98936944199988</v>
      </c>
      <c r="R761" s="4">
        <v>180</v>
      </c>
      <c r="S761" s="4">
        <v>12</v>
      </c>
    </row>
    <row r="762" spans="2:19" ht="11.25" x14ac:dyDescent="0.15">
      <c r="B762" s="3">
        <v>4219315</v>
      </c>
      <c r="C762" s="4">
        <v>751</v>
      </c>
      <c r="D762" s="6" t="s">
        <v>1582</v>
      </c>
      <c r="E762" s="7" t="s">
        <v>940</v>
      </c>
      <c r="F762" s="7"/>
      <c r="G762" s="7"/>
      <c r="H762" s="7"/>
      <c r="I762" s="7"/>
      <c r="J762" s="7"/>
      <c r="K762" s="7"/>
      <c r="L762" s="7"/>
      <c r="M762" s="7"/>
      <c r="N762" s="7"/>
      <c r="O762" s="5" t="s">
        <v>939</v>
      </c>
      <c r="P762" s="45">
        <v>606.29</v>
      </c>
      <c r="Q762" s="47">
        <f t="shared" si="11"/>
        <v>644.98936944199988</v>
      </c>
      <c r="R762" s="4">
        <v>180</v>
      </c>
      <c r="S762" s="4">
        <v>12</v>
      </c>
    </row>
    <row r="763" spans="2:19" ht="11.25" x14ac:dyDescent="0.15">
      <c r="B763" s="3">
        <v>4219316</v>
      </c>
      <c r="C763" s="4">
        <v>752</v>
      </c>
      <c r="D763" s="6" t="s">
        <v>1583</v>
      </c>
      <c r="E763" s="7" t="s">
        <v>756</v>
      </c>
      <c r="F763" s="7"/>
      <c r="G763" s="7"/>
      <c r="H763" s="7"/>
      <c r="I763" s="7"/>
      <c r="J763" s="7"/>
      <c r="K763" s="7"/>
      <c r="L763" s="7"/>
      <c r="M763" s="7"/>
      <c r="N763" s="7"/>
      <c r="O763" s="5" t="s">
        <v>941</v>
      </c>
      <c r="P763" s="45">
        <v>129.78</v>
      </c>
      <c r="Q763" s="47">
        <f t="shared" si="11"/>
        <v>138.06383144399999</v>
      </c>
      <c r="R763" s="4">
        <v>180</v>
      </c>
      <c r="S763" s="4">
        <v>12</v>
      </c>
    </row>
    <row r="764" spans="2:19" ht="11.25" x14ac:dyDescent="0.15">
      <c r="B764" s="3">
        <v>4219317</v>
      </c>
      <c r="C764" s="4">
        <v>753</v>
      </c>
      <c r="D764" s="6" t="s">
        <v>1584</v>
      </c>
      <c r="E764" s="7" t="s">
        <v>943</v>
      </c>
      <c r="F764" s="7"/>
      <c r="G764" s="7"/>
      <c r="H764" s="7"/>
      <c r="I764" s="7"/>
      <c r="J764" s="7"/>
      <c r="K764" s="7"/>
      <c r="L764" s="7"/>
      <c r="M764" s="7"/>
      <c r="N764" s="7"/>
      <c r="O764" s="5" t="s">
        <v>942</v>
      </c>
      <c r="P764" s="45">
        <v>57.5</v>
      </c>
      <c r="Q764" s="47">
        <f t="shared" si="11"/>
        <v>61.170213499999996</v>
      </c>
      <c r="R764" s="4">
        <v>180</v>
      </c>
      <c r="S764" s="4">
        <v>12</v>
      </c>
    </row>
    <row r="765" spans="2:19" ht="11.25" x14ac:dyDescent="0.15">
      <c r="B765" s="3">
        <v>4219318</v>
      </c>
      <c r="C765" s="4">
        <v>754</v>
      </c>
      <c r="D765" s="6" t="s">
        <v>1585</v>
      </c>
      <c r="E765" s="7" t="s">
        <v>945</v>
      </c>
      <c r="F765" s="7"/>
      <c r="G765" s="7"/>
      <c r="H765" s="7"/>
      <c r="I765" s="7"/>
      <c r="J765" s="7"/>
      <c r="K765" s="7"/>
      <c r="L765" s="7"/>
      <c r="M765" s="7"/>
      <c r="N765" s="7"/>
      <c r="O765" s="5" t="s">
        <v>944</v>
      </c>
      <c r="P765" s="45">
        <v>74.040000000000006</v>
      </c>
      <c r="Q765" s="47">
        <f t="shared" si="11"/>
        <v>78.765958392000002</v>
      </c>
      <c r="R765" s="4">
        <v>180</v>
      </c>
      <c r="S765" s="4">
        <v>12</v>
      </c>
    </row>
    <row r="766" spans="2:19" ht="11.25" x14ac:dyDescent="0.15">
      <c r="B766" s="3">
        <v>4219319</v>
      </c>
      <c r="C766" s="4">
        <v>755</v>
      </c>
      <c r="D766" s="6" t="s">
        <v>1586</v>
      </c>
      <c r="E766" s="7" t="s">
        <v>764</v>
      </c>
      <c r="F766" s="7"/>
      <c r="G766" s="7"/>
      <c r="H766" s="7"/>
      <c r="I766" s="7"/>
      <c r="J766" s="7"/>
      <c r="K766" s="7"/>
      <c r="L766" s="7"/>
      <c r="M766" s="7"/>
      <c r="N766" s="7"/>
      <c r="O766" s="5" t="s">
        <v>946</v>
      </c>
      <c r="P766" s="45">
        <v>94.16</v>
      </c>
      <c r="Q766" s="47">
        <f t="shared" si="11"/>
        <v>100.17021396799998</v>
      </c>
      <c r="R766" s="4">
        <v>180</v>
      </c>
      <c r="S766" s="4">
        <v>12</v>
      </c>
    </row>
    <row r="767" spans="2:19" ht="11.25" x14ac:dyDescent="0.15">
      <c r="B767" s="3">
        <v>4219320</v>
      </c>
      <c r="C767" s="4">
        <v>756</v>
      </c>
      <c r="D767" s="6" t="s">
        <v>1587</v>
      </c>
      <c r="E767" s="7" t="s">
        <v>948</v>
      </c>
      <c r="F767" s="7"/>
      <c r="G767" s="7"/>
      <c r="H767" s="7"/>
      <c r="I767" s="7"/>
      <c r="J767" s="7"/>
      <c r="K767" s="7"/>
      <c r="L767" s="7"/>
      <c r="M767" s="7"/>
      <c r="N767" s="7"/>
      <c r="O767" s="5" t="s">
        <v>947</v>
      </c>
      <c r="P767" s="45">
        <v>65.569999999999993</v>
      </c>
      <c r="Q767" s="47">
        <f t="shared" si="11"/>
        <v>69.755319985999989</v>
      </c>
      <c r="R767" s="4">
        <v>180</v>
      </c>
      <c r="S767" s="4">
        <v>12</v>
      </c>
    </row>
    <row r="768" spans="2:19" ht="11.25" x14ac:dyDescent="0.15">
      <c r="B768" s="3">
        <v>4219321</v>
      </c>
      <c r="C768" s="4">
        <v>757</v>
      </c>
      <c r="D768" s="6" t="s">
        <v>1588</v>
      </c>
      <c r="E768" s="7" t="s">
        <v>950</v>
      </c>
      <c r="F768" s="7"/>
      <c r="G768" s="7"/>
      <c r="H768" s="7"/>
      <c r="I768" s="7"/>
      <c r="J768" s="7"/>
      <c r="K768" s="7"/>
      <c r="L768" s="7"/>
      <c r="M768" s="7"/>
      <c r="N768" s="7"/>
      <c r="O768" s="5" t="s">
        <v>949</v>
      </c>
      <c r="P768" s="45">
        <v>143.79</v>
      </c>
      <c r="Q768" s="47">
        <f t="shared" si="11"/>
        <v>152.96808694199999</v>
      </c>
      <c r="R768" s="4">
        <v>180</v>
      </c>
      <c r="S768" s="4">
        <v>12</v>
      </c>
    </row>
    <row r="769" spans="2:19" ht="11.25" x14ac:dyDescent="0.15">
      <c r="B769" s="3">
        <v>5935393</v>
      </c>
      <c r="C769" s="4">
        <v>758</v>
      </c>
      <c r="D769" s="6">
        <v>1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5" t="s">
        <v>951</v>
      </c>
      <c r="P769" s="45">
        <v>0</v>
      </c>
      <c r="Q769" s="47">
        <f t="shared" si="11"/>
        <v>0</v>
      </c>
      <c r="R769" s="4">
        <v>180</v>
      </c>
      <c r="S769" s="4">
        <v>0</v>
      </c>
    </row>
    <row r="770" spans="2:19" ht="11.25" x14ac:dyDescent="0.15">
      <c r="B770" s="3">
        <v>5935394</v>
      </c>
      <c r="C770" s="4">
        <v>759</v>
      </c>
      <c r="D770" s="6">
        <v>2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5" t="s">
        <v>952</v>
      </c>
      <c r="P770" s="45">
        <v>0</v>
      </c>
      <c r="Q770" s="47">
        <f t="shared" si="11"/>
        <v>0</v>
      </c>
      <c r="R770" s="4">
        <v>180</v>
      </c>
      <c r="S770" s="4">
        <v>0</v>
      </c>
    </row>
    <row r="771" spans="2:19" ht="11.25" x14ac:dyDescent="0.15">
      <c r="B771" s="3">
        <v>5935395</v>
      </c>
      <c r="C771" s="4">
        <v>760</v>
      </c>
      <c r="D771" s="6">
        <v>3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5" t="s">
        <v>953</v>
      </c>
      <c r="P771" s="45">
        <v>0</v>
      </c>
      <c r="Q771" s="47">
        <f t="shared" si="11"/>
        <v>0</v>
      </c>
      <c r="R771" s="4">
        <v>180</v>
      </c>
      <c r="S771" s="4">
        <v>0</v>
      </c>
    </row>
    <row r="772" spans="2:19" ht="11.25" x14ac:dyDescent="0.15">
      <c r="B772" s="3">
        <v>5935396</v>
      </c>
      <c r="C772" s="4">
        <v>761</v>
      </c>
      <c r="D772" s="6">
        <v>6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5" t="s">
        <v>954</v>
      </c>
      <c r="P772" s="45">
        <v>10446.98</v>
      </c>
      <c r="Q772" s="47">
        <f t="shared" si="11"/>
        <v>11113.808644003999</v>
      </c>
      <c r="R772" s="4">
        <v>180</v>
      </c>
      <c r="S772" s="4">
        <v>0</v>
      </c>
    </row>
    <row r="773" spans="2:19" ht="11.25" x14ac:dyDescent="0.15">
      <c r="B773" s="3">
        <v>5935397</v>
      </c>
      <c r="C773" s="4">
        <v>762</v>
      </c>
      <c r="D773" s="6">
        <v>774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5" t="s">
        <v>955</v>
      </c>
      <c r="P773" s="45">
        <v>2166.7800000000002</v>
      </c>
      <c r="Q773" s="47">
        <f t="shared" si="11"/>
        <v>2305.0851340439999</v>
      </c>
      <c r="R773" s="4">
        <v>180</v>
      </c>
      <c r="S773" s="4">
        <v>0</v>
      </c>
    </row>
    <row r="774" spans="2:19" ht="11.25" x14ac:dyDescent="0.15">
      <c r="B774" s="3">
        <v>5935398</v>
      </c>
      <c r="C774" s="4">
        <v>763</v>
      </c>
      <c r="D774" s="6" t="s">
        <v>1602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5" t="s">
        <v>956</v>
      </c>
      <c r="P774" s="45">
        <v>1412.02</v>
      </c>
      <c r="Q774" s="47">
        <f t="shared" si="11"/>
        <v>1502.148954196</v>
      </c>
      <c r="R774" s="4">
        <v>180</v>
      </c>
      <c r="S774" s="4">
        <v>0</v>
      </c>
    </row>
    <row r="775" spans="2:19" ht="11.25" x14ac:dyDescent="0.15">
      <c r="B775" s="3">
        <v>5935399</v>
      </c>
      <c r="C775" s="4">
        <v>764</v>
      </c>
      <c r="D775" s="6" t="s">
        <v>1603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5" t="s">
        <v>957</v>
      </c>
      <c r="P775" s="45">
        <v>2907.1</v>
      </c>
      <c r="Q775" s="47">
        <f t="shared" si="11"/>
        <v>3092.6596115799998</v>
      </c>
      <c r="R775" s="4">
        <v>180</v>
      </c>
      <c r="S775" s="4">
        <v>0</v>
      </c>
    </row>
    <row r="776" spans="2:19" ht="11.25" x14ac:dyDescent="0.15">
      <c r="B776" s="3">
        <v>5935400</v>
      </c>
      <c r="C776" s="4">
        <v>765</v>
      </c>
      <c r="D776" s="6" t="s">
        <v>1604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5" t="s">
        <v>958</v>
      </c>
      <c r="P776" s="45">
        <v>4402.17</v>
      </c>
      <c r="Q776" s="47">
        <f t="shared" si="11"/>
        <v>4683.1596306659994</v>
      </c>
      <c r="R776" s="4">
        <v>180</v>
      </c>
      <c r="S776" s="4">
        <v>0</v>
      </c>
    </row>
    <row r="777" spans="2:19" ht="11.25" x14ac:dyDescent="0.15">
      <c r="B777" s="3">
        <v>5935401</v>
      </c>
      <c r="C777" s="4">
        <v>766</v>
      </c>
      <c r="D777" s="6" t="s">
        <v>1605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5" t="s">
        <v>959</v>
      </c>
      <c r="P777" s="45">
        <v>4817.47</v>
      </c>
      <c r="Q777" s="47">
        <f t="shared" si="11"/>
        <v>5124.9681466060001</v>
      </c>
      <c r="R777" s="4">
        <v>180</v>
      </c>
      <c r="S777" s="4">
        <v>0</v>
      </c>
    </row>
    <row r="778" spans="2:19" ht="11.25" x14ac:dyDescent="0.15">
      <c r="B778" s="3">
        <v>5935402</v>
      </c>
      <c r="C778" s="4">
        <v>767</v>
      </c>
      <c r="D778" s="6" t="s">
        <v>1606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5" t="s">
        <v>960</v>
      </c>
      <c r="P778" s="45">
        <v>2873.15</v>
      </c>
      <c r="Q778" s="47">
        <f t="shared" si="11"/>
        <v>3056.54258987</v>
      </c>
      <c r="R778" s="4">
        <v>180</v>
      </c>
      <c r="S778" s="4">
        <v>0</v>
      </c>
    </row>
    <row r="779" spans="2:19" ht="11.25" x14ac:dyDescent="0.15">
      <c r="B779" s="3">
        <v>5935403</v>
      </c>
      <c r="C779" s="4">
        <v>768</v>
      </c>
      <c r="D779" s="6" t="s">
        <v>1607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5" t="s">
        <v>961</v>
      </c>
      <c r="P779" s="45">
        <v>4665.8</v>
      </c>
      <c r="Q779" s="47">
        <f t="shared" si="11"/>
        <v>4963.6170808400002</v>
      </c>
      <c r="R779" s="4">
        <v>180</v>
      </c>
      <c r="S779" s="4">
        <v>0</v>
      </c>
    </row>
    <row r="780" spans="2:19" ht="11.25" x14ac:dyDescent="0.15">
      <c r="B780" s="3">
        <v>5935404</v>
      </c>
      <c r="C780" s="4">
        <v>769</v>
      </c>
      <c r="D780" s="6" t="s">
        <v>1608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5" t="s">
        <v>962</v>
      </c>
      <c r="P780" s="45">
        <v>5893.64</v>
      </c>
      <c r="Q780" s="47">
        <f t="shared" si="11"/>
        <v>6269.8298624720001</v>
      </c>
      <c r="R780" s="4">
        <v>180</v>
      </c>
      <c r="S780" s="4">
        <v>0</v>
      </c>
    </row>
    <row r="781" spans="2:19" ht="11.25" x14ac:dyDescent="0.15">
      <c r="B781" s="3">
        <v>5935405</v>
      </c>
      <c r="C781" s="4">
        <v>770</v>
      </c>
      <c r="D781" s="6" t="s">
        <v>1609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5" t="s">
        <v>963</v>
      </c>
      <c r="P781" s="45">
        <v>7674.01</v>
      </c>
      <c r="Q781" s="47">
        <f t="shared" si="11"/>
        <v>8163.840523498</v>
      </c>
      <c r="R781" s="4">
        <v>180</v>
      </c>
      <c r="S781" s="4">
        <v>0</v>
      </c>
    </row>
    <row r="782" spans="2:19" ht="11.25" x14ac:dyDescent="0.15">
      <c r="B782" s="36">
        <v>5935406</v>
      </c>
      <c r="C782" s="32">
        <v>771</v>
      </c>
      <c r="D782" s="33" t="s">
        <v>1610</v>
      </c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5" t="s">
        <v>964</v>
      </c>
      <c r="P782" s="45">
        <v>100</v>
      </c>
      <c r="Q782" s="47">
        <f t="shared" si="11"/>
        <v>106.38297999999999</v>
      </c>
      <c r="R782" s="32">
        <v>180</v>
      </c>
      <c r="S782" s="32">
        <v>0</v>
      </c>
    </row>
    <row r="783" spans="2:19" ht="11.25" x14ac:dyDescent="0.15">
      <c r="B783" s="36">
        <v>5935407</v>
      </c>
      <c r="C783" s="32">
        <v>772</v>
      </c>
      <c r="D783" s="33" t="s">
        <v>1611</v>
      </c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5" t="s">
        <v>965</v>
      </c>
      <c r="P783" s="45">
        <v>100</v>
      </c>
      <c r="Q783" s="47">
        <f t="shared" si="11"/>
        <v>106.38297999999999</v>
      </c>
      <c r="R783" s="32">
        <v>180</v>
      </c>
      <c r="S783" s="32">
        <v>0</v>
      </c>
    </row>
    <row r="784" spans="2:19" ht="11.25" x14ac:dyDescent="0.15">
      <c r="B784" s="36">
        <v>5935408</v>
      </c>
      <c r="C784" s="32">
        <v>773</v>
      </c>
      <c r="D784" s="33" t="s">
        <v>1612</v>
      </c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5" t="s">
        <v>966</v>
      </c>
      <c r="P784" s="45">
        <v>100</v>
      </c>
      <c r="Q784" s="47">
        <f t="shared" ref="Q784:Q847" si="12">P784*1.0638298</f>
        <v>106.38297999999999</v>
      </c>
      <c r="R784" s="32">
        <v>180</v>
      </c>
      <c r="S784" s="32">
        <v>0</v>
      </c>
    </row>
    <row r="785" spans="2:19" ht="11.25" x14ac:dyDescent="0.15">
      <c r="B785" s="36">
        <v>5935409</v>
      </c>
      <c r="C785" s="32">
        <v>774</v>
      </c>
      <c r="D785" s="33" t="s">
        <v>1613</v>
      </c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5" t="s">
        <v>967</v>
      </c>
      <c r="P785" s="45">
        <v>200</v>
      </c>
      <c r="Q785" s="47">
        <f t="shared" si="12"/>
        <v>212.76595999999998</v>
      </c>
      <c r="R785" s="32">
        <v>180</v>
      </c>
      <c r="S785" s="32">
        <v>0</v>
      </c>
    </row>
    <row r="786" spans="2:19" ht="11.25" x14ac:dyDescent="0.15">
      <c r="B786" s="36">
        <v>5935410</v>
      </c>
      <c r="C786" s="32">
        <v>775</v>
      </c>
      <c r="D786" s="33" t="s">
        <v>1614</v>
      </c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5" t="s">
        <v>968</v>
      </c>
      <c r="P786" s="45">
        <v>200</v>
      </c>
      <c r="Q786" s="47">
        <f t="shared" si="12"/>
        <v>212.76595999999998</v>
      </c>
      <c r="R786" s="32">
        <v>180</v>
      </c>
      <c r="S786" s="32">
        <v>0</v>
      </c>
    </row>
    <row r="787" spans="2:19" ht="11.25" x14ac:dyDescent="0.15">
      <c r="B787" s="36">
        <v>5935411</v>
      </c>
      <c r="C787" s="32">
        <v>776</v>
      </c>
      <c r="D787" s="33" t="s">
        <v>1615</v>
      </c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5" t="s">
        <v>969</v>
      </c>
      <c r="P787" s="45">
        <v>200</v>
      </c>
      <c r="Q787" s="47">
        <f t="shared" si="12"/>
        <v>212.76595999999998</v>
      </c>
      <c r="R787" s="32">
        <v>180</v>
      </c>
      <c r="S787" s="32">
        <v>0</v>
      </c>
    </row>
    <row r="788" spans="2:19" ht="24" customHeight="1" x14ac:dyDescent="0.15">
      <c r="B788" s="3">
        <v>5935412</v>
      </c>
      <c r="C788" s="4">
        <v>777</v>
      </c>
      <c r="D788" s="6" t="s">
        <v>1616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5" t="s">
        <v>970</v>
      </c>
      <c r="P788" s="45">
        <v>402.73</v>
      </c>
      <c r="Q788" s="47">
        <f t="shared" si="12"/>
        <v>428.436175354</v>
      </c>
      <c r="R788" s="4">
        <v>180</v>
      </c>
      <c r="S788" s="4">
        <v>0</v>
      </c>
    </row>
    <row r="789" spans="2:19" ht="21" x14ac:dyDescent="0.15">
      <c r="B789" s="3">
        <v>5935413</v>
      </c>
      <c r="C789" s="4">
        <v>778</v>
      </c>
      <c r="D789" s="6" t="s">
        <v>1617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5" t="s">
        <v>971</v>
      </c>
      <c r="P789" s="45">
        <v>1006.83</v>
      </c>
      <c r="Q789" s="47">
        <f t="shared" si="12"/>
        <v>1071.0957575340001</v>
      </c>
      <c r="R789" s="4">
        <v>180</v>
      </c>
      <c r="S789" s="4">
        <v>0</v>
      </c>
    </row>
    <row r="790" spans="2:19" ht="21" x14ac:dyDescent="0.15">
      <c r="B790" s="3">
        <v>5935414</v>
      </c>
      <c r="C790" s="4">
        <v>779</v>
      </c>
      <c r="D790" s="6" t="s">
        <v>1618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5" t="s">
        <v>972</v>
      </c>
      <c r="P790" s="45">
        <v>1610.93</v>
      </c>
      <c r="Q790" s="47">
        <f t="shared" si="12"/>
        <v>1713.755339714</v>
      </c>
      <c r="R790" s="4">
        <v>180</v>
      </c>
      <c r="S790" s="4">
        <v>0</v>
      </c>
    </row>
    <row r="791" spans="2:19" ht="20.45" customHeight="1" x14ac:dyDescent="0.15">
      <c r="B791" s="3">
        <v>5935415</v>
      </c>
      <c r="C791" s="4">
        <v>780</v>
      </c>
      <c r="D791" s="6" t="s">
        <v>1619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5" t="s">
        <v>973</v>
      </c>
      <c r="P791" s="45">
        <v>2013.66</v>
      </c>
      <c r="Q791" s="47">
        <f t="shared" si="12"/>
        <v>2142.1915150680002</v>
      </c>
      <c r="R791" s="4">
        <v>180</v>
      </c>
      <c r="S791" s="4">
        <v>0</v>
      </c>
    </row>
    <row r="792" spans="2:19" ht="11.25" x14ac:dyDescent="0.15">
      <c r="B792" s="3">
        <v>5935416</v>
      </c>
      <c r="C792" s="4">
        <v>781</v>
      </c>
      <c r="D792" s="6" t="s">
        <v>1620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5" t="s">
        <v>974</v>
      </c>
      <c r="P792" s="45">
        <v>3333.59</v>
      </c>
      <c r="Q792" s="47">
        <f t="shared" si="12"/>
        <v>3546.3723829820001</v>
      </c>
      <c r="R792" s="4">
        <v>180</v>
      </c>
      <c r="S792" s="4">
        <v>0</v>
      </c>
    </row>
    <row r="793" spans="2:19" ht="11.25" x14ac:dyDescent="0.15">
      <c r="B793" s="3">
        <v>5935417</v>
      </c>
      <c r="C793" s="4">
        <v>782</v>
      </c>
      <c r="D793" s="6" t="s">
        <v>1621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5" t="s">
        <v>975</v>
      </c>
      <c r="P793" s="45">
        <v>228.03</v>
      </c>
      <c r="Q793" s="47">
        <f t="shared" si="12"/>
        <v>242.58510929399998</v>
      </c>
      <c r="R793" s="4">
        <v>180</v>
      </c>
      <c r="S793" s="4">
        <v>0</v>
      </c>
    </row>
    <row r="794" spans="2:19" ht="11.25" x14ac:dyDescent="0.15">
      <c r="B794" s="3">
        <v>5935418</v>
      </c>
      <c r="C794" s="4">
        <v>783</v>
      </c>
      <c r="D794" s="6" t="s">
        <v>1622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5" t="s">
        <v>976</v>
      </c>
      <c r="P794" s="45">
        <v>271.88</v>
      </c>
      <c r="Q794" s="47">
        <f t="shared" si="12"/>
        <v>289.23404602399995</v>
      </c>
      <c r="R794" s="4">
        <v>180</v>
      </c>
      <c r="S794" s="4">
        <v>0</v>
      </c>
    </row>
    <row r="795" spans="2:19" ht="11.25" x14ac:dyDescent="0.15">
      <c r="B795" s="3">
        <v>5935419</v>
      </c>
      <c r="C795" s="4">
        <v>784</v>
      </c>
      <c r="D795" s="6" t="s">
        <v>1623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5" t="s">
        <v>977</v>
      </c>
      <c r="P795" s="45">
        <v>315.73</v>
      </c>
      <c r="Q795" s="47">
        <f t="shared" si="12"/>
        <v>335.88298275400001</v>
      </c>
      <c r="R795" s="4">
        <v>180</v>
      </c>
      <c r="S795" s="4">
        <v>0</v>
      </c>
    </row>
    <row r="796" spans="2:19" ht="11.25" x14ac:dyDescent="0.15">
      <c r="B796" s="3">
        <v>5935420</v>
      </c>
      <c r="C796" s="4">
        <v>785</v>
      </c>
      <c r="D796" s="6" t="s">
        <v>1624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5" t="s">
        <v>978</v>
      </c>
      <c r="P796" s="45">
        <v>1640.92</v>
      </c>
      <c r="Q796" s="47">
        <f t="shared" si="12"/>
        <v>1745.659595416</v>
      </c>
      <c r="R796" s="4">
        <v>180</v>
      </c>
      <c r="S796" s="4">
        <v>0</v>
      </c>
    </row>
    <row r="797" spans="2:19" ht="11.25" x14ac:dyDescent="0.15">
      <c r="B797" s="3">
        <v>5935421</v>
      </c>
      <c r="C797" s="4">
        <v>786</v>
      </c>
      <c r="D797" s="6" t="s">
        <v>1625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5" t="s">
        <v>979</v>
      </c>
      <c r="P797" s="45">
        <v>2503.04</v>
      </c>
      <c r="Q797" s="47">
        <f t="shared" si="12"/>
        <v>2662.8085425919999</v>
      </c>
      <c r="R797" s="4">
        <v>180</v>
      </c>
      <c r="S797" s="4">
        <v>0</v>
      </c>
    </row>
    <row r="798" spans="2:19" ht="11.25" x14ac:dyDescent="0.15">
      <c r="B798" s="3">
        <v>5935422</v>
      </c>
      <c r="C798" s="4">
        <v>787</v>
      </c>
      <c r="D798" s="6" t="s">
        <v>1626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5" t="s">
        <v>980</v>
      </c>
      <c r="P798" s="45">
        <v>3365.16</v>
      </c>
      <c r="Q798" s="47">
        <f t="shared" si="12"/>
        <v>3579.9574897679995</v>
      </c>
      <c r="R798" s="4">
        <v>180</v>
      </c>
      <c r="S798" s="4">
        <v>0</v>
      </c>
    </row>
    <row r="799" spans="2:19" ht="11.25" x14ac:dyDescent="0.15">
      <c r="B799" s="3">
        <v>5935423</v>
      </c>
      <c r="C799" s="4">
        <v>788</v>
      </c>
      <c r="D799" s="6" t="s">
        <v>1627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5" t="s">
        <v>981</v>
      </c>
      <c r="P799" s="45">
        <v>3871.21</v>
      </c>
      <c r="Q799" s="47">
        <f t="shared" si="12"/>
        <v>4118.3085600579998</v>
      </c>
      <c r="R799" s="4">
        <v>180</v>
      </c>
      <c r="S799" s="4">
        <v>0</v>
      </c>
    </row>
    <row r="800" spans="2:19" ht="11.25" x14ac:dyDescent="0.15">
      <c r="B800" s="3">
        <v>5935424</v>
      </c>
      <c r="C800" s="4">
        <v>789</v>
      </c>
      <c r="D800" s="6" t="s">
        <v>1628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5" t="s">
        <v>982</v>
      </c>
      <c r="P800" s="45">
        <v>5191.1400000000003</v>
      </c>
      <c r="Q800" s="47">
        <f t="shared" si="12"/>
        <v>5522.4894279720002</v>
      </c>
      <c r="R800" s="4">
        <v>180</v>
      </c>
      <c r="S800" s="4">
        <v>0</v>
      </c>
    </row>
    <row r="801" spans="2:19" ht="24.95" customHeight="1" x14ac:dyDescent="0.15">
      <c r="B801" s="3">
        <v>5935425</v>
      </c>
      <c r="C801" s="4">
        <v>790</v>
      </c>
      <c r="D801" s="6" t="s">
        <v>1629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5" t="s">
        <v>983</v>
      </c>
      <c r="P801" s="45">
        <v>1315.55</v>
      </c>
      <c r="Q801" s="47">
        <f t="shared" si="12"/>
        <v>1399.5212933899998</v>
      </c>
      <c r="R801" s="4">
        <v>180</v>
      </c>
      <c r="S801" s="4">
        <v>0</v>
      </c>
    </row>
    <row r="802" spans="2:19" ht="24.95" customHeight="1" x14ac:dyDescent="0.15">
      <c r="B802" s="3">
        <v>5935426</v>
      </c>
      <c r="C802" s="4">
        <v>791</v>
      </c>
      <c r="D802" s="6" t="s">
        <v>1630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5" t="s">
        <v>984</v>
      </c>
      <c r="P802" s="45">
        <v>1578.65</v>
      </c>
      <c r="Q802" s="47">
        <f t="shared" si="12"/>
        <v>1679.4149137699999</v>
      </c>
      <c r="R802" s="4">
        <v>180</v>
      </c>
      <c r="S802" s="4">
        <v>0</v>
      </c>
    </row>
    <row r="803" spans="2:19" ht="24.95" customHeight="1" x14ac:dyDescent="0.15">
      <c r="B803" s="3">
        <v>5935427</v>
      </c>
      <c r="C803" s="4">
        <v>792</v>
      </c>
      <c r="D803" s="6" t="s">
        <v>1631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5" t="s">
        <v>985</v>
      </c>
      <c r="P803" s="45">
        <v>657.77</v>
      </c>
      <c r="Q803" s="47">
        <f t="shared" si="12"/>
        <v>699.75532754599999</v>
      </c>
      <c r="R803" s="4">
        <v>180</v>
      </c>
      <c r="S803" s="4">
        <v>0</v>
      </c>
    </row>
    <row r="804" spans="2:19" ht="24.95" customHeight="1" x14ac:dyDescent="0.15">
      <c r="B804" s="3">
        <v>5935428</v>
      </c>
      <c r="C804" s="4">
        <v>793</v>
      </c>
      <c r="D804" s="6" t="s">
        <v>1632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5" t="s">
        <v>986</v>
      </c>
      <c r="P804" s="45">
        <v>657.77</v>
      </c>
      <c r="Q804" s="47">
        <f t="shared" si="12"/>
        <v>699.75532754599999</v>
      </c>
      <c r="R804" s="4">
        <v>180</v>
      </c>
      <c r="S804" s="4">
        <v>0</v>
      </c>
    </row>
    <row r="805" spans="2:19" ht="24.95" customHeight="1" x14ac:dyDescent="0.15">
      <c r="B805" s="3">
        <v>5935429</v>
      </c>
      <c r="C805" s="4">
        <v>794</v>
      </c>
      <c r="D805" s="6" t="s">
        <v>1633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5" t="s">
        <v>987</v>
      </c>
      <c r="P805" s="45">
        <v>1096.29</v>
      </c>
      <c r="Q805" s="47">
        <f t="shared" si="12"/>
        <v>1166.2659714419999</v>
      </c>
      <c r="R805" s="4">
        <v>180</v>
      </c>
      <c r="S805" s="4">
        <v>0</v>
      </c>
    </row>
    <row r="806" spans="2:19" ht="24.95" customHeight="1" x14ac:dyDescent="0.15">
      <c r="B806" s="3">
        <v>5935430</v>
      </c>
      <c r="C806" s="4">
        <v>795</v>
      </c>
      <c r="D806" s="6" t="s">
        <v>1634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5" t="s">
        <v>988</v>
      </c>
      <c r="P806" s="45">
        <v>1622.51</v>
      </c>
      <c r="Q806" s="47">
        <f t="shared" si="12"/>
        <v>1726.0744887979999</v>
      </c>
      <c r="R806" s="4">
        <v>180</v>
      </c>
      <c r="S806" s="4">
        <v>0</v>
      </c>
    </row>
    <row r="807" spans="2:19" ht="24.95" customHeight="1" x14ac:dyDescent="0.15">
      <c r="B807" s="3">
        <v>5935431</v>
      </c>
      <c r="C807" s="4">
        <v>796</v>
      </c>
      <c r="D807" s="6" t="s">
        <v>1635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5" t="s">
        <v>989</v>
      </c>
      <c r="P807" s="45">
        <v>1315.55</v>
      </c>
      <c r="Q807" s="47">
        <f t="shared" si="12"/>
        <v>1399.5212933899998</v>
      </c>
      <c r="R807" s="4">
        <v>180</v>
      </c>
      <c r="S807" s="4">
        <v>0</v>
      </c>
    </row>
    <row r="808" spans="2:19" ht="24.95" customHeight="1" x14ac:dyDescent="0.15">
      <c r="B808" s="3">
        <v>5935432</v>
      </c>
      <c r="C808" s="4">
        <v>797</v>
      </c>
      <c r="D808" s="6" t="s">
        <v>1636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5" t="s">
        <v>990</v>
      </c>
      <c r="P808" s="45">
        <v>1578.65</v>
      </c>
      <c r="Q808" s="47">
        <f t="shared" si="12"/>
        <v>1679.4149137699999</v>
      </c>
      <c r="R808" s="4">
        <v>180</v>
      </c>
      <c r="S808" s="4">
        <v>0</v>
      </c>
    </row>
    <row r="809" spans="2:19" ht="11.25" x14ac:dyDescent="0.15">
      <c r="B809" s="36">
        <v>5935433</v>
      </c>
      <c r="C809" s="32">
        <v>798</v>
      </c>
      <c r="D809" s="33" t="s">
        <v>1637</v>
      </c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5" t="s">
        <v>991</v>
      </c>
      <c r="P809" s="45">
        <v>90</v>
      </c>
      <c r="Q809" s="47">
        <f t="shared" si="12"/>
        <v>95.744681999999997</v>
      </c>
      <c r="R809" s="32">
        <v>180</v>
      </c>
      <c r="S809" s="32">
        <v>0</v>
      </c>
    </row>
    <row r="810" spans="2:19" ht="11.25" x14ac:dyDescent="0.15">
      <c r="B810" s="3">
        <v>5935434</v>
      </c>
      <c r="C810" s="4">
        <v>799</v>
      </c>
      <c r="D810" s="6" t="s">
        <v>1638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5" t="s">
        <v>992</v>
      </c>
      <c r="P810" s="45">
        <v>508.68</v>
      </c>
      <c r="Q810" s="47">
        <f t="shared" si="12"/>
        <v>541.14894266399995</v>
      </c>
      <c r="R810" s="4">
        <v>180</v>
      </c>
      <c r="S810" s="4">
        <v>0</v>
      </c>
    </row>
    <row r="811" spans="2:19" ht="11.25" x14ac:dyDescent="0.15">
      <c r="B811" s="3">
        <v>5935435</v>
      </c>
      <c r="C811" s="4">
        <v>800</v>
      </c>
      <c r="D811" s="6" t="s">
        <v>1639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5" t="s">
        <v>993</v>
      </c>
      <c r="P811" s="45">
        <v>613.91999999999996</v>
      </c>
      <c r="Q811" s="47">
        <f t="shared" si="12"/>
        <v>653.10639081599993</v>
      </c>
      <c r="R811" s="4">
        <v>180</v>
      </c>
      <c r="S811" s="4">
        <v>0</v>
      </c>
    </row>
    <row r="812" spans="2:19" ht="11.25" x14ac:dyDescent="0.15">
      <c r="B812" s="3">
        <v>5935436</v>
      </c>
      <c r="C812" s="4">
        <v>801</v>
      </c>
      <c r="D812" s="6" t="s">
        <v>1640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5" t="s">
        <v>994</v>
      </c>
      <c r="P812" s="45">
        <v>657.77</v>
      </c>
      <c r="Q812" s="47">
        <f t="shared" si="12"/>
        <v>699.75532754599999</v>
      </c>
      <c r="R812" s="4">
        <v>180</v>
      </c>
      <c r="S812" s="4">
        <v>0</v>
      </c>
    </row>
    <row r="813" spans="2:19" ht="11.25" x14ac:dyDescent="0.15">
      <c r="B813" s="3">
        <v>5935437</v>
      </c>
      <c r="C813" s="4">
        <v>802</v>
      </c>
      <c r="D813" s="6" t="s">
        <v>1641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5" t="s">
        <v>995</v>
      </c>
      <c r="P813" s="45">
        <v>1183.99</v>
      </c>
      <c r="Q813" s="47">
        <f t="shared" si="12"/>
        <v>1259.563844902</v>
      </c>
      <c r="R813" s="4">
        <v>180</v>
      </c>
      <c r="S813" s="4">
        <v>0</v>
      </c>
    </row>
    <row r="814" spans="2:19" ht="11.25" x14ac:dyDescent="0.15">
      <c r="B814" s="3">
        <v>5935438</v>
      </c>
      <c r="C814" s="4">
        <v>803</v>
      </c>
      <c r="D814" s="6" t="s">
        <v>1642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5" t="s">
        <v>996</v>
      </c>
      <c r="P814" s="45">
        <v>508.68</v>
      </c>
      <c r="Q814" s="47">
        <f t="shared" si="12"/>
        <v>541.14894266399995</v>
      </c>
      <c r="R814" s="4">
        <v>180</v>
      </c>
      <c r="S814" s="4">
        <v>0</v>
      </c>
    </row>
    <row r="815" spans="2:19" ht="11.25" x14ac:dyDescent="0.15">
      <c r="B815" s="3">
        <v>5935439</v>
      </c>
      <c r="C815" s="4">
        <v>804</v>
      </c>
      <c r="D815" s="6" t="s">
        <v>1643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5" t="s">
        <v>997</v>
      </c>
      <c r="P815" s="45">
        <v>613.91999999999996</v>
      </c>
      <c r="Q815" s="47">
        <f t="shared" si="12"/>
        <v>653.10639081599993</v>
      </c>
      <c r="R815" s="4">
        <v>180</v>
      </c>
      <c r="S815" s="4">
        <v>0</v>
      </c>
    </row>
    <row r="816" spans="2:19" ht="11.25" x14ac:dyDescent="0.15">
      <c r="B816" s="3">
        <v>5935440</v>
      </c>
      <c r="C816" s="4">
        <v>805</v>
      </c>
      <c r="D816" s="6" t="s">
        <v>1644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5" t="s">
        <v>998</v>
      </c>
      <c r="P816" s="45">
        <v>657.77</v>
      </c>
      <c r="Q816" s="47">
        <f t="shared" si="12"/>
        <v>699.75532754599999</v>
      </c>
      <c r="R816" s="4">
        <v>180</v>
      </c>
      <c r="S816" s="4">
        <v>0</v>
      </c>
    </row>
    <row r="817" spans="2:19" ht="11.25" x14ac:dyDescent="0.15">
      <c r="B817" s="3">
        <v>5935441</v>
      </c>
      <c r="C817" s="4">
        <v>806</v>
      </c>
      <c r="D817" s="6" t="s">
        <v>1645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5" t="s">
        <v>999</v>
      </c>
      <c r="P817" s="45">
        <v>1183.99</v>
      </c>
      <c r="Q817" s="47">
        <f t="shared" si="12"/>
        <v>1259.563844902</v>
      </c>
      <c r="R817" s="4">
        <v>180</v>
      </c>
      <c r="S817" s="4">
        <v>0</v>
      </c>
    </row>
    <row r="818" spans="2:19" ht="11.25" x14ac:dyDescent="0.15">
      <c r="B818" s="3">
        <v>5935442</v>
      </c>
      <c r="C818" s="4">
        <v>807</v>
      </c>
      <c r="D818" s="6" t="s">
        <v>1646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5" t="s">
        <v>1000</v>
      </c>
      <c r="P818" s="45">
        <v>508.68</v>
      </c>
      <c r="Q818" s="47">
        <f t="shared" si="12"/>
        <v>541.14894266399995</v>
      </c>
      <c r="R818" s="4">
        <v>180</v>
      </c>
      <c r="S818" s="4">
        <v>0</v>
      </c>
    </row>
    <row r="819" spans="2:19" ht="11.25" x14ac:dyDescent="0.15">
      <c r="B819" s="3">
        <v>5935443</v>
      </c>
      <c r="C819" s="4">
        <v>808</v>
      </c>
      <c r="D819" s="6" t="s">
        <v>1647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5" t="s">
        <v>1001</v>
      </c>
      <c r="P819" s="45">
        <v>613.91999999999996</v>
      </c>
      <c r="Q819" s="47">
        <f t="shared" si="12"/>
        <v>653.10639081599993</v>
      </c>
      <c r="R819" s="4">
        <v>180</v>
      </c>
      <c r="S819" s="4">
        <v>0</v>
      </c>
    </row>
    <row r="820" spans="2:19" ht="11.25" x14ac:dyDescent="0.15">
      <c r="B820" s="3">
        <v>5935444</v>
      </c>
      <c r="C820" s="4">
        <v>809</v>
      </c>
      <c r="D820" s="6" t="s">
        <v>1648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5" t="s">
        <v>1002</v>
      </c>
      <c r="P820" s="45">
        <v>657.77</v>
      </c>
      <c r="Q820" s="47">
        <f t="shared" si="12"/>
        <v>699.75532754599999</v>
      </c>
      <c r="R820" s="4">
        <v>180</v>
      </c>
      <c r="S820" s="4">
        <v>0</v>
      </c>
    </row>
    <row r="821" spans="2:19" ht="11.25" x14ac:dyDescent="0.15">
      <c r="B821" s="3">
        <v>5935445</v>
      </c>
      <c r="C821" s="4">
        <v>810</v>
      </c>
      <c r="D821" s="6" t="s">
        <v>1649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5" t="s">
        <v>1003</v>
      </c>
      <c r="P821" s="45">
        <v>1183.99</v>
      </c>
      <c r="Q821" s="47">
        <f t="shared" si="12"/>
        <v>1259.563844902</v>
      </c>
      <c r="R821" s="4">
        <v>180</v>
      </c>
      <c r="S821" s="4">
        <v>0</v>
      </c>
    </row>
    <row r="822" spans="2:19" ht="11.25" x14ac:dyDescent="0.15">
      <c r="B822" s="3">
        <v>5935446</v>
      </c>
      <c r="C822" s="4">
        <v>811</v>
      </c>
      <c r="D822" s="6" t="s">
        <v>1650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5" t="s">
        <v>1004</v>
      </c>
      <c r="P822" s="45">
        <v>420.97</v>
      </c>
      <c r="Q822" s="47">
        <f t="shared" si="12"/>
        <v>447.84043090599999</v>
      </c>
      <c r="R822" s="4">
        <v>180</v>
      </c>
      <c r="S822" s="4">
        <v>0</v>
      </c>
    </row>
    <row r="823" spans="2:19" ht="24.95" customHeight="1" x14ac:dyDescent="0.15">
      <c r="B823" s="3">
        <v>5935447</v>
      </c>
      <c r="C823" s="4">
        <v>812</v>
      </c>
      <c r="D823" s="6" t="s">
        <v>1651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5" t="s">
        <v>1005</v>
      </c>
      <c r="P823" s="45">
        <v>420.97</v>
      </c>
      <c r="Q823" s="47">
        <f t="shared" si="12"/>
        <v>447.84043090599999</v>
      </c>
      <c r="R823" s="4">
        <v>180</v>
      </c>
      <c r="S823" s="4">
        <v>0</v>
      </c>
    </row>
    <row r="824" spans="2:19" ht="24.95" customHeight="1" x14ac:dyDescent="0.15">
      <c r="B824" s="3">
        <v>5935448</v>
      </c>
      <c r="C824" s="4">
        <v>813</v>
      </c>
      <c r="D824" s="6" t="s">
        <v>1652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5" t="s">
        <v>1006</v>
      </c>
      <c r="P824" s="45">
        <v>420.97</v>
      </c>
      <c r="Q824" s="47">
        <f t="shared" si="12"/>
        <v>447.84043090599999</v>
      </c>
      <c r="R824" s="4">
        <v>180</v>
      </c>
      <c r="S824" s="4">
        <v>0</v>
      </c>
    </row>
    <row r="825" spans="2:19" ht="11.25" x14ac:dyDescent="0.15">
      <c r="B825" s="3">
        <v>5935449</v>
      </c>
      <c r="C825" s="4">
        <v>814</v>
      </c>
      <c r="D825" s="6" t="s">
        <v>1653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5" t="s">
        <v>1007</v>
      </c>
      <c r="P825" s="45">
        <v>131.55000000000001</v>
      </c>
      <c r="Q825" s="47">
        <f t="shared" si="12"/>
        <v>139.94681019000001</v>
      </c>
      <c r="R825" s="4">
        <v>180</v>
      </c>
      <c r="S825" s="4">
        <v>0</v>
      </c>
    </row>
    <row r="826" spans="2:19" ht="11.25" x14ac:dyDescent="0.15">
      <c r="B826" s="3">
        <v>5935450</v>
      </c>
      <c r="C826" s="4">
        <v>815</v>
      </c>
      <c r="D826" s="6" t="s">
        <v>1654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5" t="s">
        <v>1008</v>
      </c>
      <c r="P826" s="45">
        <v>131.55000000000001</v>
      </c>
      <c r="Q826" s="47">
        <f t="shared" si="12"/>
        <v>139.94681019000001</v>
      </c>
      <c r="R826" s="4">
        <v>180</v>
      </c>
      <c r="S826" s="4">
        <v>0</v>
      </c>
    </row>
    <row r="827" spans="2:19" ht="11.25" x14ac:dyDescent="0.15">
      <c r="B827" s="3">
        <v>5935451</v>
      </c>
      <c r="C827" s="4">
        <v>816</v>
      </c>
      <c r="D827" s="6" t="s">
        <v>1655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5" t="s">
        <v>1009</v>
      </c>
      <c r="P827" s="45">
        <v>131.55000000000001</v>
      </c>
      <c r="Q827" s="47">
        <f t="shared" si="12"/>
        <v>139.94681019000001</v>
      </c>
      <c r="R827" s="4">
        <v>180</v>
      </c>
      <c r="S827" s="4">
        <v>0</v>
      </c>
    </row>
    <row r="828" spans="2:19" ht="11.25" x14ac:dyDescent="0.15">
      <c r="B828" s="36">
        <v>5935452</v>
      </c>
      <c r="C828" s="32">
        <v>817</v>
      </c>
      <c r="D828" s="33" t="s">
        <v>1656</v>
      </c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5" t="s">
        <v>1010</v>
      </c>
      <c r="P828" s="45">
        <v>57</v>
      </c>
      <c r="Q828" s="47">
        <f t="shared" si="12"/>
        <v>60.638298599999999</v>
      </c>
      <c r="R828" s="32">
        <v>180</v>
      </c>
      <c r="S828" s="32">
        <v>0</v>
      </c>
    </row>
    <row r="829" spans="2:19" ht="11.25" x14ac:dyDescent="0.15">
      <c r="B829" s="36">
        <v>5935453</v>
      </c>
      <c r="C829" s="32">
        <v>818</v>
      </c>
      <c r="D829" s="33" t="s">
        <v>1675</v>
      </c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5" t="s">
        <v>1678</v>
      </c>
      <c r="P829" s="45">
        <v>20</v>
      </c>
      <c r="Q829" s="47">
        <f t="shared" si="12"/>
        <v>21.276595999999998</v>
      </c>
      <c r="R829" s="32">
        <v>180</v>
      </c>
      <c r="S829" s="32">
        <v>0</v>
      </c>
    </row>
    <row r="830" spans="2:19" ht="11.25" x14ac:dyDescent="0.15">
      <c r="B830" s="36">
        <v>5935454</v>
      </c>
      <c r="C830" s="32">
        <v>819</v>
      </c>
      <c r="D830" s="33" t="s">
        <v>1676</v>
      </c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5" t="s">
        <v>1011</v>
      </c>
      <c r="P830" s="45">
        <v>200</v>
      </c>
      <c r="Q830" s="47">
        <f t="shared" si="12"/>
        <v>212.76595999999998</v>
      </c>
      <c r="R830" s="32">
        <v>180</v>
      </c>
      <c r="S830" s="32">
        <v>0</v>
      </c>
    </row>
    <row r="831" spans="2:19" ht="11.25" x14ac:dyDescent="0.15">
      <c r="B831" s="36">
        <v>5935455</v>
      </c>
      <c r="C831" s="32">
        <v>820</v>
      </c>
      <c r="D831" s="33" t="s">
        <v>1677</v>
      </c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5" t="s">
        <v>1012</v>
      </c>
      <c r="P831" s="45">
        <v>200</v>
      </c>
      <c r="Q831" s="47">
        <f t="shared" si="12"/>
        <v>212.76595999999998</v>
      </c>
      <c r="R831" s="32">
        <v>180</v>
      </c>
      <c r="S831" s="32">
        <v>0</v>
      </c>
    </row>
    <row r="832" spans="2:19" ht="11.25" x14ac:dyDescent="0.15">
      <c r="B832" s="36">
        <v>5935456</v>
      </c>
      <c r="C832" s="32">
        <v>821</v>
      </c>
      <c r="D832" s="33" t="s">
        <v>1657</v>
      </c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5" t="s">
        <v>1013</v>
      </c>
      <c r="P832" s="45">
        <v>2000</v>
      </c>
      <c r="Q832" s="47">
        <f t="shared" si="12"/>
        <v>2127.6596</v>
      </c>
      <c r="R832" s="32">
        <v>360</v>
      </c>
      <c r="S832" s="32">
        <v>0</v>
      </c>
    </row>
    <row r="833" spans="2:19" ht="11.25" x14ac:dyDescent="0.15">
      <c r="B833" s="36">
        <v>5935457</v>
      </c>
      <c r="C833" s="32">
        <v>822</v>
      </c>
      <c r="D833" s="33" t="s">
        <v>1658</v>
      </c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5" t="s">
        <v>1014</v>
      </c>
      <c r="P833" s="45">
        <v>1500</v>
      </c>
      <c r="Q833" s="47">
        <f t="shared" si="12"/>
        <v>1595.7447</v>
      </c>
      <c r="R833" s="32">
        <v>360</v>
      </c>
      <c r="S833" s="32">
        <v>0</v>
      </c>
    </row>
    <row r="834" spans="2:19" ht="11.25" x14ac:dyDescent="0.15">
      <c r="B834" s="36">
        <v>5935458</v>
      </c>
      <c r="C834" s="32">
        <v>823</v>
      </c>
      <c r="D834" s="33" t="s">
        <v>1659</v>
      </c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5" t="s">
        <v>1015</v>
      </c>
      <c r="P834" s="45">
        <v>750</v>
      </c>
      <c r="Q834" s="47">
        <f t="shared" si="12"/>
        <v>797.87234999999998</v>
      </c>
      <c r="R834" s="32">
        <v>360</v>
      </c>
      <c r="S834" s="32">
        <v>0</v>
      </c>
    </row>
    <row r="835" spans="2:19" ht="11.25" x14ac:dyDescent="0.15">
      <c r="B835" s="36">
        <v>5935459</v>
      </c>
      <c r="C835" s="32">
        <v>824</v>
      </c>
      <c r="D835" s="33" t="s">
        <v>1660</v>
      </c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5" t="s">
        <v>1016</v>
      </c>
      <c r="P835" s="45">
        <v>4000</v>
      </c>
      <c r="Q835" s="47">
        <f t="shared" si="12"/>
        <v>4255.3191999999999</v>
      </c>
      <c r="R835" s="32">
        <v>360</v>
      </c>
      <c r="S835" s="32">
        <v>0</v>
      </c>
    </row>
    <row r="836" spans="2:19" ht="11.25" x14ac:dyDescent="0.15">
      <c r="B836" s="36">
        <v>5935460</v>
      </c>
      <c r="C836" s="32">
        <v>825</v>
      </c>
      <c r="D836" s="33" t="s">
        <v>1661</v>
      </c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5" t="s">
        <v>1017</v>
      </c>
      <c r="P836" s="45">
        <v>4000</v>
      </c>
      <c r="Q836" s="47">
        <f t="shared" si="12"/>
        <v>4255.3191999999999</v>
      </c>
      <c r="R836" s="32">
        <v>360</v>
      </c>
      <c r="S836" s="32">
        <v>0</v>
      </c>
    </row>
    <row r="837" spans="2:19" ht="11.25" x14ac:dyDescent="0.15">
      <c r="B837" s="36">
        <v>5935461</v>
      </c>
      <c r="C837" s="32">
        <v>826</v>
      </c>
      <c r="D837" s="33" t="s">
        <v>1662</v>
      </c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5" t="s">
        <v>1018</v>
      </c>
      <c r="P837" s="45">
        <v>4000</v>
      </c>
      <c r="Q837" s="47">
        <f t="shared" si="12"/>
        <v>4255.3191999999999</v>
      </c>
      <c r="R837" s="32">
        <v>360</v>
      </c>
      <c r="S837" s="32">
        <v>0</v>
      </c>
    </row>
    <row r="838" spans="2:19" ht="11.25" x14ac:dyDescent="0.15">
      <c r="B838" s="36">
        <v>5935462</v>
      </c>
      <c r="C838" s="32">
        <v>827</v>
      </c>
      <c r="D838" s="33" t="s">
        <v>1663</v>
      </c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5" t="s">
        <v>1019</v>
      </c>
      <c r="P838" s="45">
        <v>4000</v>
      </c>
      <c r="Q838" s="47">
        <f t="shared" si="12"/>
        <v>4255.3191999999999</v>
      </c>
      <c r="R838" s="32">
        <v>360</v>
      </c>
      <c r="S838" s="32">
        <v>0</v>
      </c>
    </row>
    <row r="839" spans="2:19" ht="11.25" x14ac:dyDescent="0.15">
      <c r="B839" s="36">
        <v>5935463</v>
      </c>
      <c r="C839" s="32">
        <v>828</v>
      </c>
      <c r="D839" s="33" t="s">
        <v>1664</v>
      </c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5" t="s">
        <v>1020</v>
      </c>
      <c r="P839" s="45">
        <v>4000</v>
      </c>
      <c r="Q839" s="47">
        <f t="shared" si="12"/>
        <v>4255.3191999999999</v>
      </c>
      <c r="R839" s="32">
        <v>360</v>
      </c>
      <c r="S839" s="32">
        <v>0</v>
      </c>
    </row>
    <row r="840" spans="2:19" ht="11.25" x14ac:dyDescent="0.15">
      <c r="B840" s="36">
        <v>5935464</v>
      </c>
      <c r="C840" s="32">
        <v>829</v>
      </c>
      <c r="D840" s="33" t="s">
        <v>1665</v>
      </c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5" t="s">
        <v>1021</v>
      </c>
      <c r="P840" s="45">
        <v>4000</v>
      </c>
      <c r="Q840" s="47">
        <f t="shared" si="12"/>
        <v>4255.3191999999999</v>
      </c>
      <c r="R840" s="32">
        <v>360</v>
      </c>
      <c r="S840" s="32">
        <v>0</v>
      </c>
    </row>
    <row r="841" spans="2:19" ht="11.25" x14ac:dyDescent="0.15">
      <c r="B841" s="36">
        <v>5935465</v>
      </c>
      <c r="C841" s="32">
        <v>830</v>
      </c>
      <c r="D841" s="33" t="s">
        <v>1666</v>
      </c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5" t="s">
        <v>1022</v>
      </c>
      <c r="P841" s="45">
        <v>4000</v>
      </c>
      <c r="Q841" s="47">
        <f t="shared" si="12"/>
        <v>4255.3191999999999</v>
      </c>
      <c r="R841" s="32">
        <v>360</v>
      </c>
      <c r="S841" s="32">
        <v>0</v>
      </c>
    </row>
    <row r="842" spans="2:19" ht="24.95" customHeight="1" x14ac:dyDescent="0.15">
      <c r="B842" s="36">
        <v>5935466</v>
      </c>
      <c r="C842" s="32">
        <v>831</v>
      </c>
      <c r="D842" s="33" t="s">
        <v>1667</v>
      </c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5" t="s">
        <v>1023</v>
      </c>
      <c r="P842" s="45">
        <v>4000</v>
      </c>
      <c r="Q842" s="47">
        <f t="shared" si="12"/>
        <v>4255.3191999999999</v>
      </c>
      <c r="R842" s="32">
        <v>360</v>
      </c>
      <c r="S842" s="32">
        <v>0</v>
      </c>
    </row>
    <row r="843" spans="2:19" ht="11.25" x14ac:dyDescent="0.15">
      <c r="B843" s="36">
        <v>5935467</v>
      </c>
      <c r="C843" s="32">
        <v>832</v>
      </c>
      <c r="D843" s="33" t="s">
        <v>1668</v>
      </c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5" t="s">
        <v>1024</v>
      </c>
      <c r="P843" s="45">
        <v>2000</v>
      </c>
      <c r="Q843" s="47">
        <f t="shared" si="12"/>
        <v>2127.6596</v>
      </c>
      <c r="R843" s="32">
        <v>360</v>
      </c>
      <c r="S843" s="32">
        <v>0</v>
      </c>
    </row>
    <row r="844" spans="2:19" ht="11.25" x14ac:dyDescent="0.15">
      <c r="B844" s="36">
        <v>5935468</v>
      </c>
      <c r="C844" s="32">
        <v>833</v>
      </c>
      <c r="D844" s="33" t="s">
        <v>1669</v>
      </c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5" t="s">
        <v>1025</v>
      </c>
      <c r="P844" s="45">
        <v>4000</v>
      </c>
      <c r="Q844" s="47">
        <f t="shared" si="12"/>
        <v>4255.3191999999999</v>
      </c>
      <c r="R844" s="32">
        <v>360</v>
      </c>
      <c r="S844" s="32">
        <v>0</v>
      </c>
    </row>
    <row r="845" spans="2:19" ht="11.25" x14ac:dyDescent="0.15">
      <c r="B845" s="36">
        <v>5935469</v>
      </c>
      <c r="C845" s="32">
        <v>834</v>
      </c>
      <c r="D845" s="33" t="s">
        <v>1670</v>
      </c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5" t="s">
        <v>1026</v>
      </c>
      <c r="P845" s="45">
        <v>4000</v>
      </c>
      <c r="Q845" s="47">
        <f t="shared" si="12"/>
        <v>4255.3191999999999</v>
      </c>
      <c r="R845" s="32">
        <v>360</v>
      </c>
      <c r="S845" s="32">
        <v>0</v>
      </c>
    </row>
    <row r="846" spans="2:19" ht="11.25" x14ac:dyDescent="0.15">
      <c r="B846" s="36">
        <v>5935470</v>
      </c>
      <c r="C846" s="32">
        <v>835</v>
      </c>
      <c r="D846" s="33" t="s">
        <v>1671</v>
      </c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5" t="s">
        <v>1027</v>
      </c>
      <c r="P846" s="45">
        <v>3000</v>
      </c>
      <c r="Q846" s="47">
        <f t="shared" si="12"/>
        <v>3191.4893999999999</v>
      </c>
      <c r="R846" s="32">
        <v>360</v>
      </c>
      <c r="S846" s="32">
        <v>0</v>
      </c>
    </row>
    <row r="847" spans="2:19" ht="11.25" x14ac:dyDescent="0.15">
      <c r="B847" s="36">
        <v>5935471</v>
      </c>
      <c r="C847" s="32">
        <v>836</v>
      </c>
      <c r="D847" s="33" t="s">
        <v>1672</v>
      </c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5" t="s">
        <v>1028</v>
      </c>
      <c r="P847" s="45">
        <v>4000</v>
      </c>
      <c r="Q847" s="47">
        <f t="shared" si="12"/>
        <v>4255.3191999999999</v>
      </c>
      <c r="R847" s="32">
        <v>360</v>
      </c>
      <c r="S847" s="32">
        <v>0</v>
      </c>
    </row>
    <row r="848" spans="2:19" ht="11.25" x14ac:dyDescent="0.15">
      <c r="B848" s="36">
        <v>5935472</v>
      </c>
      <c r="C848" s="32">
        <v>837</v>
      </c>
      <c r="D848" s="33" t="s">
        <v>1673</v>
      </c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5" t="s">
        <v>1029</v>
      </c>
      <c r="P848" s="45">
        <v>500</v>
      </c>
      <c r="Q848" s="47">
        <f t="shared" ref="Q848:Q862" si="13">P848*1.0638298</f>
        <v>531.91489999999999</v>
      </c>
      <c r="R848" s="32">
        <v>360</v>
      </c>
      <c r="S848" s="32">
        <v>0</v>
      </c>
    </row>
    <row r="849" spans="2:19" ht="11.25" x14ac:dyDescent="0.15">
      <c r="B849" s="36">
        <v>5935473</v>
      </c>
      <c r="C849" s="32">
        <v>838</v>
      </c>
      <c r="D849" s="33" t="s">
        <v>1674</v>
      </c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5" t="s">
        <v>1030</v>
      </c>
      <c r="P849" s="45">
        <v>4500</v>
      </c>
      <c r="Q849" s="47">
        <f t="shared" si="13"/>
        <v>4787.2340999999997</v>
      </c>
      <c r="R849" s="32">
        <v>360</v>
      </c>
      <c r="S849" s="32">
        <v>0</v>
      </c>
    </row>
    <row r="850" spans="2:19" ht="11.25" x14ac:dyDescent="0.15">
      <c r="B850" s="3">
        <v>6022557</v>
      </c>
      <c r="C850" s="4">
        <v>839</v>
      </c>
      <c r="D850" s="6" t="s">
        <v>1589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5" t="s">
        <v>1031</v>
      </c>
      <c r="P850" s="45">
        <v>0.01</v>
      </c>
      <c r="Q850" s="47">
        <f t="shared" si="13"/>
        <v>1.0638297999999999E-2</v>
      </c>
      <c r="R850" s="4">
        <v>180</v>
      </c>
      <c r="S850" s="4">
        <v>0</v>
      </c>
    </row>
    <row r="851" spans="2:19" ht="11.25" x14ac:dyDescent="0.15">
      <c r="B851" s="3">
        <v>6022558</v>
      </c>
      <c r="C851" s="4">
        <v>840</v>
      </c>
      <c r="D851" s="6" t="s">
        <v>1590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5" t="s">
        <v>1032</v>
      </c>
      <c r="P851" s="45">
        <v>0.01</v>
      </c>
      <c r="Q851" s="47">
        <f t="shared" si="13"/>
        <v>1.0638297999999999E-2</v>
      </c>
      <c r="R851" s="4">
        <v>180</v>
      </c>
      <c r="S851" s="4">
        <v>0</v>
      </c>
    </row>
    <row r="852" spans="2:19" ht="11.25" x14ac:dyDescent="0.15">
      <c r="B852" s="3">
        <v>6022559</v>
      </c>
      <c r="C852" s="4">
        <v>841</v>
      </c>
      <c r="D852" s="6" t="s">
        <v>1591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5" t="s">
        <v>1033</v>
      </c>
      <c r="P852" s="45">
        <v>0.01</v>
      </c>
      <c r="Q852" s="47">
        <f t="shared" si="13"/>
        <v>1.0638297999999999E-2</v>
      </c>
      <c r="R852" s="4">
        <v>180</v>
      </c>
      <c r="S852" s="4">
        <v>0</v>
      </c>
    </row>
    <row r="853" spans="2:19" ht="11.25" x14ac:dyDescent="0.15">
      <c r="B853" s="3">
        <v>6022560</v>
      </c>
      <c r="C853" s="4">
        <v>842</v>
      </c>
      <c r="D853" s="6" t="s">
        <v>1592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5" t="s">
        <v>1034</v>
      </c>
      <c r="P853" s="45">
        <v>0.01</v>
      </c>
      <c r="Q853" s="47">
        <f t="shared" si="13"/>
        <v>1.0638297999999999E-2</v>
      </c>
      <c r="R853" s="4">
        <v>180</v>
      </c>
      <c r="S853" s="4">
        <v>0</v>
      </c>
    </row>
    <row r="854" spans="2:19" ht="11.25" x14ac:dyDescent="0.15">
      <c r="B854" s="3">
        <v>6022561</v>
      </c>
      <c r="C854" s="4">
        <v>843</v>
      </c>
      <c r="D854" s="6" t="s">
        <v>1593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5" t="s">
        <v>1035</v>
      </c>
      <c r="P854" s="45">
        <v>0.01</v>
      </c>
      <c r="Q854" s="47">
        <f t="shared" si="13"/>
        <v>1.0638297999999999E-2</v>
      </c>
      <c r="R854" s="4">
        <v>180</v>
      </c>
      <c r="S854" s="4">
        <v>0</v>
      </c>
    </row>
    <row r="855" spans="2:19" ht="11.25" x14ac:dyDescent="0.15">
      <c r="B855" s="3">
        <v>6022562</v>
      </c>
      <c r="C855" s="4">
        <v>844</v>
      </c>
      <c r="D855" s="6" t="s">
        <v>1594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5" t="s">
        <v>1036</v>
      </c>
      <c r="P855" s="45">
        <v>0.01</v>
      </c>
      <c r="Q855" s="47">
        <f t="shared" si="13"/>
        <v>1.0638297999999999E-2</v>
      </c>
      <c r="R855" s="4">
        <v>180</v>
      </c>
      <c r="S855" s="4">
        <v>0</v>
      </c>
    </row>
    <row r="856" spans="2:19" ht="11.25" x14ac:dyDescent="0.15">
      <c r="B856" s="3">
        <v>6022563</v>
      </c>
      <c r="C856" s="4">
        <v>845</v>
      </c>
      <c r="D856" s="6" t="s">
        <v>1595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5" t="s">
        <v>1037</v>
      </c>
      <c r="P856" s="45">
        <v>0.01</v>
      </c>
      <c r="Q856" s="47">
        <f t="shared" si="13"/>
        <v>1.0638297999999999E-2</v>
      </c>
      <c r="R856" s="4">
        <v>180</v>
      </c>
      <c r="S856" s="4">
        <v>0</v>
      </c>
    </row>
    <row r="857" spans="2:19" ht="11.25" x14ac:dyDescent="0.15">
      <c r="B857" s="3">
        <v>6022564</v>
      </c>
      <c r="C857" s="4">
        <v>846</v>
      </c>
      <c r="D857" s="6" t="s">
        <v>1596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5" t="s">
        <v>1038</v>
      </c>
      <c r="P857" s="45">
        <v>0.01</v>
      </c>
      <c r="Q857" s="47">
        <f t="shared" si="13"/>
        <v>1.0638297999999999E-2</v>
      </c>
      <c r="R857" s="4">
        <v>180</v>
      </c>
      <c r="S857" s="4">
        <v>0</v>
      </c>
    </row>
    <row r="858" spans="2:19" ht="11.25" x14ac:dyDescent="0.15">
      <c r="B858" s="3">
        <v>6022565</v>
      </c>
      <c r="C858" s="4">
        <v>847</v>
      </c>
      <c r="D858" s="6" t="s">
        <v>1597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5" t="s">
        <v>1039</v>
      </c>
      <c r="P858" s="45">
        <v>0.01</v>
      </c>
      <c r="Q858" s="47">
        <f t="shared" si="13"/>
        <v>1.0638297999999999E-2</v>
      </c>
      <c r="R858" s="4">
        <v>180</v>
      </c>
      <c r="S858" s="4">
        <v>0</v>
      </c>
    </row>
    <row r="859" spans="2:19" ht="11.25" x14ac:dyDescent="0.15">
      <c r="B859" s="3">
        <v>6022566</v>
      </c>
      <c r="C859" s="4">
        <v>848</v>
      </c>
      <c r="D859" s="6" t="s">
        <v>1598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5" t="s">
        <v>1040</v>
      </c>
      <c r="P859" s="45">
        <v>0.01</v>
      </c>
      <c r="Q859" s="47">
        <f t="shared" si="13"/>
        <v>1.0638297999999999E-2</v>
      </c>
      <c r="R859" s="4">
        <v>180</v>
      </c>
      <c r="S859" s="4">
        <v>0</v>
      </c>
    </row>
    <row r="860" spans="2:19" ht="11.25" x14ac:dyDescent="0.15">
      <c r="B860" s="3">
        <v>6022567</v>
      </c>
      <c r="C860" s="4">
        <v>849</v>
      </c>
      <c r="D860" s="6" t="s">
        <v>1599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5" t="s">
        <v>1041</v>
      </c>
      <c r="P860" s="45">
        <v>0.01</v>
      </c>
      <c r="Q860" s="47">
        <f t="shared" si="13"/>
        <v>1.0638297999999999E-2</v>
      </c>
      <c r="R860" s="4">
        <v>180</v>
      </c>
      <c r="S860" s="4">
        <v>0</v>
      </c>
    </row>
    <row r="861" spans="2:19" ht="11.25" x14ac:dyDescent="0.15">
      <c r="B861" s="3">
        <v>6022568</v>
      </c>
      <c r="C861" s="4">
        <v>850</v>
      </c>
      <c r="D861" s="6" t="s">
        <v>1600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5" t="s">
        <v>1042</v>
      </c>
      <c r="P861" s="45">
        <v>0.01</v>
      </c>
      <c r="Q861" s="47">
        <f t="shared" si="13"/>
        <v>1.0638297999999999E-2</v>
      </c>
      <c r="R861" s="4">
        <v>180</v>
      </c>
      <c r="S861" s="4">
        <v>0</v>
      </c>
    </row>
    <row r="862" spans="2:19" ht="11.25" x14ac:dyDescent="0.15">
      <c r="B862" s="3">
        <v>6022569</v>
      </c>
      <c r="C862" s="4">
        <v>851</v>
      </c>
      <c r="D862" s="6" t="s">
        <v>1601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5" t="s">
        <v>1043</v>
      </c>
      <c r="P862" s="45">
        <v>0.01</v>
      </c>
      <c r="Q862" s="47">
        <f t="shared" si="13"/>
        <v>1.0638297999999999E-2</v>
      </c>
      <c r="R862" s="4">
        <v>180</v>
      </c>
      <c r="S862" s="4">
        <v>0</v>
      </c>
    </row>
    <row r="863" spans="2:19" ht="11.25" x14ac:dyDescent="0.15">
      <c r="B863" s="57"/>
      <c r="C863" s="55"/>
      <c r="D863" s="55"/>
      <c r="E863" s="55"/>
      <c r="F863" s="40"/>
      <c r="G863" s="40"/>
      <c r="H863" s="40"/>
      <c r="I863" s="40"/>
      <c r="J863" s="40"/>
      <c r="K863" s="40"/>
      <c r="L863" s="40"/>
      <c r="M863" s="40"/>
      <c r="N863" s="40"/>
      <c r="O863" s="55" t="s">
        <v>1047</v>
      </c>
      <c r="P863" s="55"/>
      <c r="Q863" s="55"/>
      <c r="R863" s="55"/>
      <c r="S863" s="58"/>
    </row>
    <row r="864" spans="2:19" ht="22.9" customHeight="1" x14ac:dyDescent="0.15">
      <c r="B864" s="28"/>
      <c r="C864" s="29" t="s">
        <v>1094</v>
      </c>
      <c r="D864" s="37" t="s">
        <v>1092</v>
      </c>
      <c r="E864" s="48" t="s">
        <v>1681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56"/>
      <c r="P864" s="56"/>
      <c r="Q864" s="56"/>
      <c r="R864" s="56"/>
      <c r="S864" s="59"/>
    </row>
    <row r="865" spans="2:19" ht="11.25" x14ac:dyDescent="0.15">
      <c r="B865" s="3" t="s">
        <v>1085</v>
      </c>
      <c r="C865" s="4">
        <v>198</v>
      </c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5" t="s">
        <v>1048</v>
      </c>
      <c r="P865" s="45">
        <v>-2205</v>
      </c>
      <c r="Q865" s="47">
        <f>P865/1.0638298</f>
        <v>-2072.6999751276003</v>
      </c>
      <c r="R865" s="4">
        <v>180</v>
      </c>
      <c r="S865" s="4">
        <v>12</v>
      </c>
    </row>
    <row r="866" spans="2:19" ht="11.25" x14ac:dyDescent="0.15">
      <c r="B866" s="3" t="s">
        <v>1085</v>
      </c>
      <c r="C866" s="4">
        <v>199</v>
      </c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5" t="s">
        <v>1049</v>
      </c>
      <c r="P866" s="45">
        <v>-420</v>
      </c>
      <c r="Q866" s="47">
        <f t="shared" ref="Q866:Q901" si="14">P866/1.0638298</f>
        <v>-394.7999952624001</v>
      </c>
      <c r="R866" s="4">
        <v>180</v>
      </c>
      <c r="S866" s="4">
        <v>12</v>
      </c>
    </row>
    <row r="867" spans="2:19" ht="11.25" x14ac:dyDescent="0.15">
      <c r="B867" s="3" t="s">
        <v>1085</v>
      </c>
      <c r="C867" s="4">
        <v>209</v>
      </c>
      <c r="D867" s="6" t="s">
        <v>1086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5" t="s">
        <v>1050</v>
      </c>
      <c r="P867" s="45">
        <v>-577.5</v>
      </c>
      <c r="Q867" s="47">
        <f t="shared" si="14"/>
        <v>-542.84999348580016</v>
      </c>
      <c r="R867" s="4">
        <v>180</v>
      </c>
      <c r="S867" s="4">
        <v>12</v>
      </c>
    </row>
    <row r="868" spans="2:19" ht="11.25" x14ac:dyDescent="0.15">
      <c r="B868" s="3" t="s">
        <v>1085</v>
      </c>
      <c r="C868" s="4">
        <v>210</v>
      </c>
      <c r="D868" s="6" t="s">
        <v>1086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5" t="s">
        <v>1051</v>
      </c>
      <c r="P868" s="45">
        <v>-1680</v>
      </c>
      <c r="Q868" s="47">
        <f t="shared" si="14"/>
        <v>-1579.1999810496004</v>
      </c>
      <c r="R868" s="4">
        <v>180</v>
      </c>
      <c r="S868" s="4">
        <v>12</v>
      </c>
    </row>
    <row r="869" spans="2:19" ht="11.25" x14ac:dyDescent="0.15">
      <c r="B869" s="3" t="s">
        <v>1085</v>
      </c>
      <c r="C869" s="4">
        <v>211</v>
      </c>
      <c r="D869" s="6" t="s">
        <v>1087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5" t="s">
        <v>1052</v>
      </c>
      <c r="P869" s="45">
        <v>-640.5</v>
      </c>
      <c r="Q869" s="47">
        <f t="shared" si="14"/>
        <v>-602.06999277516013</v>
      </c>
      <c r="R869" s="4">
        <v>180</v>
      </c>
      <c r="S869" s="4">
        <v>12</v>
      </c>
    </row>
    <row r="870" spans="2:19" ht="11.25" x14ac:dyDescent="0.15">
      <c r="B870" s="3" t="s">
        <v>1085</v>
      </c>
      <c r="C870" s="4">
        <v>212</v>
      </c>
      <c r="D870" s="6" t="s">
        <v>1087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5" t="s">
        <v>1053</v>
      </c>
      <c r="P870" s="45">
        <v>-787.5</v>
      </c>
      <c r="Q870" s="47">
        <f t="shared" si="14"/>
        <v>-740.24999111700015</v>
      </c>
      <c r="R870" s="4">
        <v>180</v>
      </c>
      <c r="S870" s="4">
        <v>12</v>
      </c>
    </row>
    <row r="871" spans="2:19" ht="11.25" x14ac:dyDescent="0.15">
      <c r="B871" s="3" t="s">
        <v>1085</v>
      </c>
      <c r="C871" s="4">
        <v>223</v>
      </c>
      <c r="D871" s="6" t="s">
        <v>1088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5" t="s">
        <v>1054</v>
      </c>
      <c r="P871" s="45">
        <v>-582.62</v>
      </c>
      <c r="Q871" s="47">
        <f t="shared" si="14"/>
        <v>-547.66279342804648</v>
      </c>
      <c r="R871" s="4">
        <v>180</v>
      </c>
      <c r="S871" s="4">
        <v>12</v>
      </c>
    </row>
    <row r="872" spans="2:19" ht="11.25" x14ac:dyDescent="0.15">
      <c r="B872" s="3" t="s">
        <v>1085</v>
      </c>
      <c r="C872" s="4">
        <v>225</v>
      </c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5" t="s">
        <v>1055</v>
      </c>
      <c r="P872" s="45">
        <v>-541.04</v>
      </c>
      <c r="Q872" s="47">
        <f t="shared" si="14"/>
        <v>-508.57759389706888</v>
      </c>
      <c r="R872" s="4">
        <v>180</v>
      </c>
      <c r="S872" s="4">
        <v>12</v>
      </c>
    </row>
    <row r="873" spans="2:19" ht="11.25" x14ac:dyDescent="0.15">
      <c r="B873" s="3" t="s">
        <v>1085</v>
      </c>
      <c r="C873" s="4">
        <v>263</v>
      </c>
      <c r="D873" s="6" t="s">
        <v>1089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5" t="s">
        <v>1056</v>
      </c>
      <c r="P873" s="45">
        <v>-68.19</v>
      </c>
      <c r="Q873" s="47">
        <f t="shared" si="14"/>
        <v>-64.098599230816816</v>
      </c>
      <c r="R873" s="4">
        <v>180</v>
      </c>
      <c r="S873" s="4">
        <v>12</v>
      </c>
    </row>
    <row r="874" spans="2:19" ht="11.25" x14ac:dyDescent="0.15">
      <c r="B874" s="3" t="s">
        <v>1085</v>
      </c>
      <c r="C874" s="4">
        <v>274</v>
      </c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5" t="s">
        <v>1057</v>
      </c>
      <c r="P874" s="45">
        <v>-2629.5</v>
      </c>
      <c r="Q874" s="47">
        <f t="shared" si="14"/>
        <v>-2471.7299703392405</v>
      </c>
      <c r="R874" s="4">
        <v>180</v>
      </c>
      <c r="S874" s="4">
        <v>12</v>
      </c>
    </row>
    <row r="875" spans="2:19" ht="11.25" x14ac:dyDescent="0.15">
      <c r="B875" s="3" t="s">
        <v>1085</v>
      </c>
      <c r="C875" s="4">
        <v>276</v>
      </c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5" t="s">
        <v>1058</v>
      </c>
      <c r="P875" s="45">
        <v>-1872</v>
      </c>
      <c r="Q875" s="47">
        <f t="shared" si="14"/>
        <v>-1759.6799788838402</v>
      </c>
      <c r="R875" s="4">
        <v>180</v>
      </c>
      <c r="S875" s="4">
        <v>12</v>
      </c>
    </row>
    <row r="876" spans="2:19" ht="11.25" x14ac:dyDescent="0.15">
      <c r="B876" s="3" t="s">
        <v>1085</v>
      </c>
      <c r="C876" s="4">
        <v>277</v>
      </c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5" t="s">
        <v>1059</v>
      </c>
      <c r="P876" s="45">
        <v>-2629.5</v>
      </c>
      <c r="Q876" s="47">
        <f t="shared" si="14"/>
        <v>-2471.7299703392405</v>
      </c>
      <c r="R876" s="4">
        <v>180</v>
      </c>
      <c r="S876" s="4">
        <v>12</v>
      </c>
    </row>
    <row r="877" spans="2:19" ht="11.25" x14ac:dyDescent="0.15">
      <c r="B877" s="3" t="s">
        <v>1085</v>
      </c>
      <c r="C877" s="4">
        <v>340</v>
      </c>
      <c r="D877" s="6" t="s">
        <v>1090</v>
      </c>
      <c r="E877" s="7" t="s">
        <v>308</v>
      </c>
      <c r="F877" s="7" t="s">
        <v>1771</v>
      </c>
      <c r="G877" s="7"/>
      <c r="H877" s="7"/>
      <c r="I877" s="7"/>
      <c r="J877" s="7"/>
      <c r="K877" s="7"/>
      <c r="L877" s="7"/>
      <c r="M877" s="7"/>
      <c r="N877" s="7"/>
      <c r="O877" s="5" t="s">
        <v>1060</v>
      </c>
      <c r="P877" s="45">
        <v>-20122.95</v>
      </c>
      <c r="Q877" s="47">
        <f t="shared" si="14"/>
        <v>-18915.572773013129</v>
      </c>
      <c r="R877" s="4">
        <v>180</v>
      </c>
      <c r="S877" s="4">
        <v>12</v>
      </c>
    </row>
    <row r="878" spans="2:19" ht="11.25" x14ac:dyDescent="0.15">
      <c r="B878" s="3" t="s">
        <v>1085</v>
      </c>
      <c r="C878" s="4">
        <v>341</v>
      </c>
      <c r="D878" s="6" t="s">
        <v>1090</v>
      </c>
      <c r="E878" s="7" t="s">
        <v>293</v>
      </c>
      <c r="F878" s="7"/>
      <c r="G878" s="7" t="s">
        <v>1771</v>
      </c>
      <c r="H878" s="7"/>
      <c r="I878" s="7"/>
      <c r="J878" s="7"/>
      <c r="K878" s="7"/>
      <c r="L878" s="7"/>
      <c r="M878" s="7" t="s">
        <v>1771</v>
      </c>
      <c r="N878" s="7"/>
      <c r="O878" s="5" t="s">
        <v>1061</v>
      </c>
      <c r="P878" s="45">
        <v>-43871.21</v>
      </c>
      <c r="Q878" s="47">
        <f t="shared" si="14"/>
        <v>-41238.936905132759</v>
      </c>
      <c r="R878" s="4">
        <v>180</v>
      </c>
      <c r="S878" s="4">
        <v>12</v>
      </c>
    </row>
    <row r="879" spans="2:19" ht="11.25" x14ac:dyDescent="0.15">
      <c r="B879" s="3" t="s">
        <v>1085</v>
      </c>
      <c r="C879" s="4">
        <v>342</v>
      </c>
      <c r="D879" s="6" t="s">
        <v>1090</v>
      </c>
      <c r="E879" s="7" t="s">
        <v>312</v>
      </c>
      <c r="F879" s="7"/>
      <c r="G879" s="7"/>
      <c r="H879" s="7" t="s">
        <v>1771</v>
      </c>
      <c r="I879" s="7"/>
      <c r="J879" s="7"/>
      <c r="K879" s="7"/>
      <c r="L879" s="7"/>
      <c r="M879" s="7"/>
      <c r="N879" s="7" t="s">
        <v>1771</v>
      </c>
      <c r="O879" s="5" t="s">
        <v>1062</v>
      </c>
      <c r="P879" s="45">
        <v>-53445.64</v>
      </c>
      <c r="Q879" s="47">
        <f t="shared" si="14"/>
        <v>-50238.900997133191</v>
      </c>
      <c r="R879" s="4">
        <v>180</v>
      </c>
      <c r="S879" s="4">
        <v>12</v>
      </c>
    </row>
    <row r="880" spans="2:19" ht="11.25" x14ac:dyDescent="0.15">
      <c r="B880" s="3" t="s">
        <v>1085</v>
      </c>
      <c r="C880" s="4">
        <v>669</v>
      </c>
      <c r="D880" s="6" t="s">
        <v>1090</v>
      </c>
      <c r="E880" s="7" t="s">
        <v>279</v>
      </c>
      <c r="F880" s="7"/>
      <c r="G880" s="7"/>
      <c r="H880" s="7"/>
      <c r="I880" s="7" t="s">
        <v>1771</v>
      </c>
      <c r="J880" s="7"/>
      <c r="K880" s="7"/>
      <c r="L880" s="7"/>
      <c r="M880" s="7"/>
      <c r="N880" s="7"/>
      <c r="O880" s="5" t="s">
        <v>1070</v>
      </c>
      <c r="P880" s="45">
        <v>-15636.91</v>
      </c>
      <c r="Q880" s="47">
        <f>P880/1.0638298</f>
        <v>-14698.695223615658</v>
      </c>
      <c r="R880" s="4">
        <v>180</v>
      </c>
      <c r="S880" s="4">
        <v>12</v>
      </c>
    </row>
    <row r="881" spans="2:19" ht="11.25" x14ac:dyDescent="0.15">
      <c r="B881" s="3" t="s">
        <v>1085</v>
      </c>
      <c r="C881" s="4">
        <v>670</v>
      </c>
      <c r="D881" s="6" t="s">
        <v>1090</v>
      </c>
      <c r="E881" s="7" t="s">
        <v>293</v>
      </c>
      <c r="F881" s="7"/>
      <c r="G881" s="7"/>
      <c r="H881" s="7"/>
      <c r="I881" s="7"/>
      <c r="J881" s="7" t="s">
        <v>1771</v>
      </c>
      <c r="K881" s="7"/>
      <c r="L881" s="7"/>
      <c r="M881" s="7"/>
      <c r="N881" s="7"/>
      <c r="O881" s="5" t="s">
        <v>1071</v>
      </c>
      <c r="P881" s="45">
        <v>-22639.46</v>
      </c>
      <c r="Q881" s="47">
        <f>P881/1.0638298</f>
        <v>-21281.092144626895</v>
      </c>
      <c r="R881" s="4">
        <v>180</v>
      </c>
      <c r="S881" s="4">
        <v>12</v>
      </c>
    </row>
    <row r="882" spans="2:19" ht="11.25" x14ac:dyDescent="0.15">
      <c r="B882" s="3" t="s">
        <v>1085</v>
      </c>
      <c r="C882" s="4">
        <v>671</v>
      </c>
      <c r="D882" s="6" t="s">
        <v>1090</v>
      </c>
      <c r="E882" s="7" t="s">
        <v>311</v>
      </c>
      <c r="F882" s="7"/>
      <c r="G882" s="7"/>
      <c r="H882" s="7"/>
      <c r="I882" s="7"/>
      <c r="J882" s="7"/>
      <c r="K882" s="7" t="s">
        <v>1771</v>
      </c>
      <c r="L882" s="7" t="s">
        <v>1771</v>
      </c>
      <c r="M882" s="7"/>
      <c r="N882" s="7"/>
      <c r="O882" s="5" t="s">
        <v>1072</v>
      </c>
      <c r="P882" s="45">
        <v>-24053.45</v>
      </c>
      <c r="Q882" s="47">
        <f>P882/1.0638298</f>
        <v>-22610.242728677091</v>
      </c>
      <c r="R882" s="4">
        <v>180</v>
      </c>
      <c r="S882" s="4">
        <v>12</v>
      </c>
    </row>
    <row r="883" spans="2:19" ht="11.25" x14ac:dyDescent="0.15">
      <c r="B883" s="3" t="s">
        <v>1085</v>
      </c>
      <c r="C883" s="4">
        <v>608</v>
      </c>
      <c r="D883" s="6" t="s">
        <v>1091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5" t="s">
        <v>1063</v>
      </c>
      <c r="P883" s="45">
        <v>-1603.56</v>
      </c>
      <c r="Q883" s="47">
        <f t="shared" si="14"/>
        <v>-1507.3463819118435</v>
      </c>
      <c r="R883" s="4">
        <v>180</v>
      </c>
      <c r="S883" s="4">
        <v>12</v>
      </c>
    </row>
    <row r="884" spans="2:19" ht="11.25" x14ac:dyDescent="0.15">
      <c r="B884" s="3" t="s">
        <v>1085</v>
      </c>
      <c r="C884" s="4">
        <v>609</v>
      </c>
      <c r="D884" s="6" t="s">
        <v>1091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5" t="s">
        <v>1064</v>
      </c>
      <c r="P884" s="45">
        <v>-1290.33</v>
      </c>
      <c r="Q884" s="47">
        <f t="shared" si="14"/>
        <v>-1212.9101854450778</v>
      </c>
      <c r="R884" s="4">
        <v>180</v>
      </c>
      <c r="S884" s="4">
        <v>12</v>
      </c>
    </row>
    <row r="885" spans="2:19" ht="11.25" x14ac:dyDescent="0.15">
      <c r="B885" s="3" t="s">
        <v>1085</v>
      </c>
      <c r="C885" s="4">
        <v>613</v>
      </c>
      <c r="D885" s="6" t="s">
        <v>1086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5" t="s">
        <v>1065</v>
      </c>
      <c r="P885" s="45">
        <v>-577.5</v>
      </c>
      <c r="Q885" s="47">
        <f t="shared" si="14"/>
        <v>-542.84999348580016</v>
      </c>
      <c r="R885" s="4">
        <v>180</v>
      </c>
      <c r="S885" s="4">
        <v>12</v>
      </c>
    </row>
    <row r="886" spans="2:19" ht="11.25" x14ac:dyDescent="0.15">
      <c r="B886" s="3" t="s">
        <v>1085</v>
      </c>
      <c r="C886" s="4">
        <v>614</v>
      </c>
      <c r="D886" s="6" t="s">
        <v>1086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5" t="s">
        <v>1066</v>
      </c>
      <c r="P886" s="45">
        <v>-1680</v>
      </c>
      <c r="Q886" s="47">
        <f t="shared" si="14"/>
        <v>-1579.1999810496004</v>
      </c>
      <c r="R886" s="4">
        <v>180</v>
      </c>
      <c r="S886" s="4">
        <v>12</v>
      </c>
    </row>
    <row r="887" spans="2:19" ht="11.25" x14ac:dyDescent="0.15">
      <c r="B887" s="3" t="s">
        <v>1085</v>
      </c>
      <c r="C887" s="4">
        <v>615</v>
      </c>
      <c r="D887" s="6" t="s">
        <v>1087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5" t="s">
        <v>1067</v>
      </c>
      <c r="P887" s="45">
        <v>-1760.86</v>
      </c>
      <c r="Q887" s="47">
        <f t="shared" si="14"/>
        <v>-1655.2083801374995</v>
      </c>
      <c r="R887" s="4">
        <v>180</v>
      </c>
      <c r="S887" s="4">
        <v>12</v>
      </c>
    </row>
    <row r="888" spans="2:19" ht="11.25" x14ac:dyDescent="0.15">
      <c r="B888" s="3" t="s">
        <v>1085</v>
      </c>
      <c r="C888" s="4">
        <v>619</v>
      </c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5" t="s">
        <v>1068</v>
      </c>
      <c r="P888" s="45">
        <v>-582.62</v>
      </c>
      <c r="Q888" s="47">
        <f t="shared" si="14"/>
        <v>-547.66279342804648</v>
      </c>
      <c r="R888" s="4">
        <v>180</v>
      </c>
      <c r="S888" s="4">
        <v>12</v>
      </c>
    </row>
    <row r="889" spans="2:19" ht="11.25" x14ac:dyDescent="0.15">
      <c r="B889" s="3" t="s">
        <v>1085</v>
      </c>
      <c r="C889" s="4">
        <v>621</v>
      </c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5" t="s">
        <v>1069</v>
      </c>
      <c r="P889" s="45">
        <v>-541.04</v>
      </c>
      <c r="Q889" s="47">
        <f t="shared" si="14"/>
        <v>-508.57759389706888</v>
      </c>
      <c r="R889" s="4">
        <v>180</v>
      </c>
      <c r="S889" s="4">
        <v>12</v>
      </c>
    </row>
    <row r="890" spans="2:19" ht="11.25" x14ac:dyDescent="0.15">
      <c r="B890" s="3" t="s">
        <v>1085</v>
      </c>
      <c r="C890" s="4">
        <v>749</v>
      </c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5" t="s">
        <v>1073</v>
      </c>
      <c r="P890" s="45">
        <v>-42.69</v>
      </c>
      <c r="Q890" s="47">
        <f t="shared" si="14"/>
        <v>-40.128599518456809</v>
      </c>
      <c r="R890" s="4">
        <v>180</v>
      </c>
      <c r="S890" s="4">
        <v>12</v>
      </c>
    </row>
    <row r="891" spans="2:19" ht="11.25" x14ac:dyDescent="0.15">
      <c r="B891" s="3" t="s">
        <v>1085</v>
      </c>
      <c r="C891" s="4">
        <v>752</v>
      </c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5" t="s">
        <v>1074</v>
      </c>
      <c r="P891" s="45">
        <v>-2310</v>
      </c>
      <c r="Q891" s="47">
        <f t="shared" si="14"/>
        <v>-2171.3999739432006</v>
      </c>
      <c r="R891" s="4">
        <v>180</v>
      </c>
      <c r="S891" s="4">
        <v>12</v>
      </c>
    </row>
    <row r="892" spans="2:19" ht="11.25" x14ac:dyDescent="0.15">
      <c r="B892" s="3" t="s">
        <v>1085</v>
      </c>
      <c r="C892" s="4">
        <v>753</v>
      </c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5" t="s">
        <v>1075</v>
      </c>
      <c r="P892" s="45">
        <v>-2205</v>
      </c>
      <c r="Q892" s="47">
        <f t="shared" si="14"/>
        <v>-2072.6999751276003</v>
      </c>
      <c r="R892" s="4">
        <v>180</v>
      </c>
      <c r="S892" s="4">
        <v>12</v>
      </c>
    </row>
    <row r="893" spans="2:19" ht="11.25" x14ac:dyDescent="0.15">
      <c r="B893" s="3" t="s">
        <v>1085</v>
      </c>
      <c r="C893" s="4">
        <v>756</v>
      </c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5" t="s">
        <v>1076</v>
      </c>
      <c r="P893" s="45">
        <v>-769.83</v>
      </c>
      <c r="Q893" s="47">
        <f t="shared" si="14"/>
        <v>-723.64019131631778</v>
      </c>
      <c r="R893" s="4">
        <v>180</v>
      </c>
      <c r="S893" s="4">
        <v>12</v>
      </c>
    </row>
    <row r="894" spans="2:19" ht="11.25" x14ac:dyDescent="0.15">
      <c r="B894" s="3" t="s">
        <v>1085</v>
      </c>
      <c r="C894" s="4">
        <v>757</v>
      </c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5" t="s">
        <v>1077</v>
      </c>
      <c r="P894" s="45">
        <v>-769.83</v>
      </c>
      <c r="Q894" s="47">
        <f t="shared" si="14"/>
        <v>-723.64019131631778</v>
      </c>
      <c r="R894" s="4">
        <v>180</v>
      </c>
      <c r="S894" s="4">
        <v>12</v>
      </c>
    </row>
    <row r="895" spans="2:19" ht="11.25" x14ac:dyDescent="0.15">
      <c r="B895" s="3" t="s">
        <v>1085</v>
      </c>
      <c r="C895" s="4">
        <v>758</v>
      </c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5" t="s">
        <v>1078</v>
      </c>
      <c r="P895" s="45">
        <v>-583.55999999999995</v>
      </c>
      <c r="Q895" s="47">
        <f t="shared" si="14"/>
        <v>-548.54639341744326</v>
      </c>
      <c r="R895" s="4">
        <v>180</v>
      </c>
      <c r="S895" s="4">
        <v>12</v>
      </c>
    </row>
    <row r="896" spans="2:19" ht="11.25" x14ac:dyDescent="0.15">
      <c r="B896" s="3" t="s">
        <v>1085</v>
      </c>
      <c r="C896" s="4">
        <v>759</v>
      </c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5" t="s">
        <v>1079</v>
      </c>
      <c r="P896" s="45">
        <v>-1603.56</v>
      </c>
      <c r="Q896" s="47">
        <f t="shared" si="14"/>
        <v>-1507.3463819118435</v>
      </c>
      <c r="R896" s="4">
        <v>180</v>
      </c>
      <c r="S896" s="4">
        <v>12</v>
      </c>
    </row>
    <row r="897" spans="2:19" ht="11.25" x14ac:dyDescent="0.15">
      <c r="B897" s="3" t="s">
        <v>1085</v>
      </c>
      <c r="C897" s="4">
        <v>760</v>
      </c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5" t="s">
        <v>1080</v>
      </c>
      <c r="P897" s="45">
        <v>-1843.56</v>
      </c>
      <c r="Q897" s="47">
        <f t="shared" si="14"/>
        <v>-1732.9463792046436</v>
      </c>
      <c r="R897" s="4">
        <v>180</v>
      </c>
      <c r="S897" s="4">
        <v>12</v>
      </c>
    </row>
    <row r="898" spans="2:19" ht="11.25" x14ac:dyDescent="0.15">
      <c r="B898" s="3" t="s">
        <v>1085</v>
      </c>
      <c r="C898" s="4">
        <v>761</v>
      </c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5" t="s">
        <v>1081</v>
      </c>
      <c r="P898" s="45">
        <v>-2100</v>
      </c>
      <c r="Q898" s="47">
        <f t="shared" si="14"/>
        <v>-1973.9999763120004</v>
      </c>
      <c r="R898" s="4">
        <v>180</v>
      </c>
      <c r="S898" s="4">
        <v>12</v>
      </c>
    </row>
    <row r="899" spans="2:19" ht="11.25" x14ac:dyDescent="0.15">
      <c r="B899" s="3" t="s">
        <v>1085</v>
      </c>
      <c r="C899" s="4">
        <v>762</v>
      </c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5" t="s">
        <v>1082</v>
      </c>
      <c r="P899" s="45">
        <v>-2449.83</v>
      </c>
      <c r="Q899" s="47">
        <f t="shared" si="14"/>
        <v>-2302.8401723659181</v>
      </c>
      <c r="R899" s="4">
        <v>180</v>
      </c>
      <c r="S899" s="4">
        <v>12</v>
      </c>
    </row>
    <row r="900" spans="2:19" ht="11.25" x14ac:dyDescent="0.15">
      <c r="B900" s="3" t="s">
        <v>1085</v>
      </c>
      <c r="C900" s="4">
        <v>765</v>
      </c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5" t="s">
        <v>1083</v>
      </c>
      <c r="P900" s="45">
        <v>-586.07000000000005</v>
      </c>
      <c r="Q900" s="47">
        <f t="shared" si="14"/>
        <v>-550.90579338913051</v>
      </c>
      <c r="R900" s="4">
        <v>180</v>
      </c>
      <c r="S900" s="4">
        <v>12</v>
      </c>
    </row>
    <row r="901" spans="2:19" ht="11.25" x14ac:dyDescent="0.15">
      <c r="B901" s="3" t="s">
        <v>1085</v>
      </c>
      <c r="C901" s="4">
        <v>773</v>
      </c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5" t="s">
        <v>1084</v>
      </c>
      <c r="P901" s="45">
        <v>-101.96</v>
      </c>
      <c r="Q901" s="47">
        <f t="shared" si="14"/>
        <v>-95.842398849891211</v>
      </c>
      <c r="R901" s="4">
        <v>180</v>
      </c>
      <c r="S901" s="4">
        <v>12</v>
      </c>
    </row>
  </sheetData>
  <mergeCells count="7">
    <mergeCell ref="B7:C7"/>
    <mergeCell ref="D7:E7"/>
    <mergeCell ref="O7:S7"/>
    <mergeCell ref="O863:O864"/>
    <mergeCell ref="B863:E863"/>
    <mergeCell ref="P863:S864"/>
    <mergeCell ref="C11:O11"/>
  </mergeCells>
  <phoneticPr fontId="12" type="noConversion"/>
  <printOptions horizontalCentered="1"/>
  <pageMargins left="0" right="0" top="0.19685039370078741" bottom="0.19685039370078741" header="0" footer="0"/>
  <pageSetup paperSize="9" scale="77" fitToHeight="0" orientation="landscape" r:id="rId1"/>
  <headerFooter>
    <oddFooter>&amp;LA.O.O 23U046
Marché n° 416 981
Lot n° 3 - ZEPPELIN
Révision de prix n° 1 à la date d'ouverture du marché&amp;RPage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416 981_ZEPPELIN_AJST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ZACCHEROLI Patricia</dc:creator>
  <cp:lastModifiedBy>François PENLAE</cp:lastModifiedBy>
  <cp:lastPrinted>2025-08-22T08:59:26Z</cp:lastPrinted>
  <dcterms:created xsi:type="dcterms:W3CDTF">2025-03-05T11:13:48Z</dcterms:created>
  <dcterms:modified xsi:type="dcterms:W3CDTF">2025-10-07T07:37:07Z</dcterms:modified>
</cp:coreProperties>
</file>